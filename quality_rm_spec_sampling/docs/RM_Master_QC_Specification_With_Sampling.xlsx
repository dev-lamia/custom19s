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1EDB5F5-BBC2-4983-AFF0-7323DAE1502F}" xr6:coauthVersionLast="47" xr6:coauthVersionMax="47" xr10:uidLastSave="{00000000-0000-0000-0000-000000000000}"/>
  <bookViews>
    <workbookView xWindow="-108" yWindow="-108" windowWidth="23256" windowHeight="13896" tabRatio="975" firstSheet="1" activeTab="1" xr2:uid="{00000000-000D-0000-FFFF-FFFF00000000}"/>
  </bookViews>
  <sheets>
    <sheet name="MasterSampling_For jobs" sheetId="1" state="hidden" r:id="rId1"/>
    <sheet name="Main Sheet" sheetId="6" r:id="rId2"/>
    <sheet name="MasterSampleParametersRmcheck" sheetId="2" r:id="rId3"/>
    <sheet name="Catalogs error" sheetId="7" r:id="rId4"/>
    <sheet name="Rough Work" sheetId="3" r:id="rId5"/>
    <sheet name="BasicidentificationProduct Spec" sheetId="4" state="hidden" r:id="rId6"/>
    <sheet name="Conusmable allocation" sheetId="5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3" i="7"/>
</calcChain>
</file>

<file path=xl/sharedStrings.xml><?xml version="1.0" encoding="utf-8"?>
<sst xmlns="http://schemas.openxmlformats.org/spreadsheetml/2006/main" count="1277" uniqueCount="646">
  <si>
    <t>MASTER QUALITY CONTROL SPECIFICATION &amp; SAMPLING PROCEDURE SHEET - FLEXIBLE PACKAGING OPERATIONS</t>
  </si>
  <si>
    <t>Process</t>
  </si>
  <si>
    <t>Item</t>
  </si>
  <si>
    <t>MIC</t>
  </si>
  <si>
    <t>UOM</t>
  </si>
  <si>
    <t>LSL</t>
  </si>
  <si>
    <t>Target</t>
  </si>
  <si>
    <t>USL</t>
  </si>
  <si>
    <t>Inspection Method</t>
  </si>
  <si>
    <t>Base Inspection Lot Size</t>
  </si>
  <si>
    <t>Sample Size</t>
  </si>
  <si>
    <t>Measurements per Sample</t>
  </si>
  <si>
    <t>Sample Method</t>
  </si>
  <si>
    <t>Inspection Level</t>
  </si>
  <si>
    <t>Inspection Frequency</t>
  </si>
  <si>
    <t>Pre-Press Setup</t>
  </si>
  <si>
    <t>Raw Substrate</t>
  </si>
  <si>
    <t>Dyne Level</t>
  </si>
  <si>
    <t>dynes/cm</t>
  </si>
  <si>
    <t>38</t>
  </si>
  <si>
    <t>40</t>
  </si>
  <si>
    <t>44</t>
  </si>
  <si>
    <t>Dyne Pen / Test Solutions</t>
  </si>
  <si>
    <t>Per Roll / Lot</t>
  </si>
  <si>
    <t>1 Roll</t>
  </si>
  <si>
    <t>Start / Middle / End</t>
  </si>
  <si>
    <t>Normal</t>
  </si>
  <si>
    <t>Every Roll / Batch Setup</t>
  </si>
  <si>
    <t>Substrate</t>
  </si>
  <si>
    <t>Caliper / Thickness Tolerance</t>
  </si>
  <si>
    <t>%</t>
  </si>
  <si>
    <t>-5%</t>
  </si>
  <si>
    <t>Nominal</t>
  </si>
  <si>
    <t>+5%</t>
  </si>
  <si>
    <t>Digital Micrometer</t>
  </si>
  <si>
    <t>Across Web Width</t>
  </si>
  <si>
    <t>Every Roll / Job Setup</t>
  </si>
  <si>
    <t>Standard</t>
  </si>
  <si>
    <t>mm</t>
  </si>
  <si>
    <t>0.50</t>
  </si>
  <si>
    <t>Printing Ink</t>
  </si>
  <si>
    <t>Ink Viscosity (Solvent/Water)</t>
  </si>
  <si>
    <t>Sec</t>
  </si>
  <si>
    <t>18</t>
  </si>
  <si>
    <t>22</t>
  </si>
  <si>
    <t>26</t>
  </si>
  <si>
    <t>Zahn Cup #3 / Ford Cup #4</t>
  </si>
  <si>
    <t>Per Batch / Tank</t>
  </si>
  <si>
    <t>All Tanks</t>
  </si>
  <si>
    <t>In-tank / Circulation</t>
  </si>
  <si>
    <t>Setup &amp; Every 30 mins</t>
  </si>
  <si>
    <t>ΔE</t>
  </si>
  <si>
    <t>0.0</t>
  </si>
  <si>
    <t>2.0</t>
  </si>
  <si>
    <t>Live Press Run</t>
  </si>
  <si>
    <t>Printed Film</t>
  </si>
  <si>
    <t>Color Delta E (ΔE)</t>
  </si>
  <si>
    <t>2.5</t>
  </si>
  <si>
    <t>Spectrophotometer (CIELAB)</t>
  </si>
  <si>
    <t>All</t>
  </si>
  <si>
    <t>Solid Ink Density (SID)</t>
  </si>
  <si>
    <t>D</t>
  </si>
  <si>
    <t>Standard - 0.05</t>
  </si>
  <si>
    <t>Standard + 0.05</t>
  </si>
  <si>
    <t>Densitometer / Spectrophotometer</t>
  </si>
  <si>
    <t>Dot Gain / TVI (at 50% tint)</t>
  </si>
  <si>
    <t>12%</t>
  </si>
  <si>
    <t>15%</t>
  </si>
  <si>
    <t>18%</t>
  </si>
  <si>
    <t>Densitometer</t>
  </si>
  <si>
    <t>Registration (Lateral &amp; Longitudinal)</t>
  </si>
  <si>
    <t>-0.5</t>
  </si>
  <si>
    <t>+0.5</t>
  </si>
  <si>
    <t>Video Registration System / Magnifier</t>
  </si>
  <si>
    <t>Drying System</t>
  </si>
  <si>
    <t>Dryer Temperature</t>
  </si>
  <si>
    <t>°C</t>
  </si>
  <si>
    <t>60</t>
  </si>
  <si>
    <t>70</t>
  </si>
  <si>
    <t>80</t>
  </si>
  <si>
    <t>Inline Temperature Sensor / IR Gun</t>
  </si>
  <si>
    <t>Continuous</t>
  </si>
  <si>
    <t>Continuous / Logged</t>
  </si>
  <si>
    <t>Hourly / Shift Start</t>
  </si>
  <si>
    <t>Post-Print QC</t>
  </si>
  <si>
    <t>Printed Roll</t>
  </si>
  <si>
    <t>Ink Adhesion</t>
  </si>
  <si>
    <t>95%</t>
  </si>
  <si>
    <t>100%</t>
  </si>
  <si>
    <t>ASTM D3359 Cross-Hatch Tape Test</t>
  </si>
  <si>
    <t>Rub / Scuff Resistance</t>
  </si>
  <si>
    <t>Cycles</t>
  </si>
  <si>
    <t>100</t>
  </si>
  <si>
    <t>200</t>
  </si>
  <si>
    <t>N/A</t>
  </si>
  <si>
    <t>Sutherland Rub Tester</t>
  </si>
  <si>
    <t>Per Job / Lot</t>
  </si>
  <si>
    <t>1 Roll per Lot</t>
  </si>
  <si>
    <t>Print Web Sample</t>
  </si>
  <si>
    <t>Per Printed Lot</t>
  </si>
  <si>
    <t>Repeat Length</t>
  </si>
  <si>
    <t>Precision Steel Ruler / Encoder</t>
  </si>
  <si>
    <t>Barcode Readability (ANSI Grade)</t>
  </si>
  <si>
    <t>Grade</t>
  </si>
  <si>
    <t>Grade B</t>
  </si>
  <si>
    <t>Grade A</t>
  </si>
  <si>
    <t>Barcode Verifier</t>
  </si>
  <si>
    <t>Residual Solvent (Laminating/Food Safe)</t>
  </si>
  <si>
    <t>mg/m²</t>
  </si>
  <si>
    <t>5.0</t>
  </si>
  <si>
    <t>Gas Chromatography (GC)</t>
  </si>
  <si>
    <t>1 Roll per Batch</t>
  </si>
  <si>
    <t>Inner Core / Outer Layer</t>
  </si>
  <si>
    <t>Per Production Batch</t>
  </si>
  <si>
    <t>Lamination</t>
  </si>
  <si>
    <t>Laminated Film</t>
  </si>
  <si>
    <t>Adhesive Coating Weight (Dry)</t>
  </si>
  <si>
    <t>gsm (g/m²)</t>
  </si>
  <si>
    <t>1.4</t>
  </si>
  <si>
    <t>1.8</t>
  </si>
  <si>
    <t>2.2</t>
  </si>
  <si>
    <t>Solvent Wash &amp; Weigh (Gravimetric)</t>
  </si>
  <si>
    <t>Primary Film</t>
  </si>
  <si>
    <t>Dyne Level (Corona Treated)</t>
  </si>
  <si>
    <t>42</t>
  </si>
  <si>
    <t>46</t>
  </si>
  <si>
    <t>Dyne Pen / Test Solution</t>
  </si>
  <si>
    <t>Secondary Film</t>
  </si>
  <si>
    <t>N/15mm</t>
  </si>
  <si>
    <t>0.8</t>
  </si>
  <si>
    <t>1.2</t>
  </si>
  <si>
    <t>Tensile Tester (180° Peel)</t>
  </si>
  <si>
    <t>Bond Strength (Cured - 24-48 hrs)</t>
  </si>
  <si>
    <t>2.0 (FT)</t>
  </si>
  <si>
    <t>3.5</t>
  </si>
  <si>
    <t>Tensile Tester (ASTM F904)</t>
  </si>
  <si>
    <t>Heat Seal Strength</t>
  </si>
  <si>
    <t>25.0</t>
  </si>
  <si>
    <t>35.0</t>
  </si>
  <si>
    <t>Universal Testing Machine (UTM)</t>
  </si>
  <si>
    <t>Laminated Roll</t>
  </si>
  <si>
    <t>Optical Clarity / Haze</t>
  </si>
  <si>
    <t>1.5</t>
  </si>
  <si>
    <t>3.0</t>
  </si>
  <si>
    <t>Haze Meter</t>
  </si>
  <si>
    <t>Curing Chamber Temp / Time</t>
  </si>
  <si>
    <t>°C / Hrs</t>
  </si>
  <si>
    <t>40 / 24</t>
  </si>
  <si>
    <t>45 / 48</t>
  </si>
  <si>
    <t>50 / 72</t>
  </si>
  <si>
    <t>Calibrated Sensor / Timer</t>
  </si>
  <si>
    <t>Per Chamber Lot</t>
  </si>
  <si>
    <t>All Chambers</t>
  </si>
  <si>
    <t>Continuous Log</t>
  </si>
  <si>
    <t>Per Curing Cycle</t>
  </si>
  <si>
    <t>Web Tension / Winding Profile</t>
  </si>
  <si>
    <t>N/m</t>
  </si>
  <si>
    <t>Standard - 10%</t>
  </si>
  <si>
    <t>Standard + 10%</t>
  </si>
  <si>
    <t>Load Cell Tension Indicator</t>
  </si>
  <si>
    <t>Slitting</t>
  </si>
  <si>
    <t>Slit Roll</t>
  </si>
  <si>
    <t>Roll Width Tolerance</t>
  </si>
  <si>
    <t>Precision Digital Caliper / Steel Ruler</t>
  </si>
  <si>
    <t>Roll Outer Diameter (OD)</t>
  </si>
  <si>
    <t>Nominal - 5</t>
  </si>
  <si>
    <t>Nominal + 5</t>
  </si>
  <si>
    <t>Measuring Tape</t>
  </si>
  <si>
    <t>Edge Straightness / Telescoping</t>
  </si>
  <si>
    <t>1.0</t>
  </si>
  <si>
    <t>Steel Straight Edge / Dial Indicator</t>
  </si>
  <si>
    <t>Core Inner Diameter (ID)</t>
  </si>
  <si>
    <t>Inch / mm</t>
  </si>
  <si>
    <t>76.0</t>
  </si>
  <si>
    <t>76.2</t>
  </si>
  <si>
    <t>76.4</t>
  </si>
  <si>
    <t>Vernier Caliper / Plug Gauge</t>
  </si>
  <si>
    <t>Per Core Batch</t>
  </si>
  <si>
    <t>Sample Cores</t>
  </si>
  <si>
    <t>Random Core Select</t>
  </si>
  <si>
    <t>Per Batch / Order</t>
  </si>
  <si>
    <t>Count</t>
  </si>
  <si>
    <t>0</t>
  </si>
  <si>
    <t>1</t>
  </si>
  <si>
    <t>Visual Inspection / Tally Counter</t>
  </si>
  <si>
    <t>Splice Tape Alignment &amp; Flagging</t>
  </si>
  <si>
    <t>Visual &amp; High-contrast Indicator Tape</t>
  </si>
  <si>
    <t>Slit Web</t>
  </si>
  <si>
    <t>Dust / Trim Burrs</t>
  </si>
  <si>
    <t>Visual</t>
  </si>
  <si>
    <t>Free</t>
  </si>
  <si>
    <t>Trace</t>
  </si>
  <si>
    <t>Magnifying Glass / Dust Wipe</t>
  </si>
  <si>
    <t>Pouch Making</t>
  </si>
  <si>
    <t>Finished Pouch</t>
  </si>
  <si>
    <t>Pouch Width</t>
  </si>
  <si>
    <t>-1.0</t>
  </si>
  <si>
    <t>+1.0</t>
  </si>
  <si>
    <t>Precision Steel Ruler</t>
  </si>
  <si>
    <t>Pouch Length</t>
  </si>
  <si>
    <t>Bottom / Side Gusset Depth</t>
  </si>
  <si>
    <t>Precision Ruler</t>
  </si>
  <si>
    <t>Main Seal Width</t>
  </si>
  <si>
    <t>Nominal - 0.5</t>
  </si>
  <si>
    <t>Nominal + 0.5</t>
  </si>
  <si>
    <t>Vernier Caliper</t>
  </si>
  <si>
    <t>Seal Integrity / Burst Pressure</t>
  </si>
  <si>
    <t>Bar / kPa</t>
  </si>
  <si>
    <t>Restrained Plate Burst Tester (ASTM F2054)</t>
  </si>
  <si>
    <t>Seal Strength (Main / Zipper)</t>
  </si>
  <si>
    <t>30.0</t>
  </si>
  <si>
    <t>45.0</t>
  </si>
  <si>
    <t>Tensile Tester (ASTM F88)</t>
  </si>
  <si>
    <t>No Leak</t>
  </si>
  <si>
    <t>Pass</t>
  </si>
  <si>
    <t>Water Submersion Vacuum Chamber (ASTM D3078)</t>
  </si>
  <si>
    <t>Zipper Opening / Retention Force</t>
  </si>
  <si>
    <t>N</t>
  </si>
  <si>
    <t>10.0</t>
  </si>
  <si>
    <t>18.0</t>
  </si>
  <si>
    <t>Force Gauge / Tensile Tester</t>
  </si>
  <si>
    <t>Tear Notch Placement / Depth</t>
  </si>
  <si>
    <t>Corner Radius / Die Cut Quality</t>
  </si>
  <si>
    <t>Smooth</t>
  </si>
  <si>
    <t>Visual / Radius Gauge</t>
  </si>
  <si>
    <t>Valving</t>
  </si>
  <si>
    <t>Valve Placement</t>
  </si>
  <si>
    <t>Valve Position (X / Y Offset)</t>
  </si>
  <si>
    <t>-2.0</t>
  </si>
  <si>
    <t>+2.0</t>
  </si>
  <si>
    <t>Precision Template / Ruler</t>
  </si>
  <si>
    <t>Valve Seal</t>
  </si>
  <si>
    <t>Valve Seal Strength</t>
  </si>
  <si>
    <t>15.0</t>
  </si>
  <si>
    <t>Tensile Tester / Pull Test</t>
  </si>
  <si>
    <t>Valve Assembly</t>
  </si>
  <si>
    <t>Opening Pressure (Cracking)</t>
  </si>
  <si>
    <t>mbar</t>
  </si>
  <si>
    <t>4.0</t>
  </si>
  <si>
    <t>8.0</t>
  </si>
  <si>
    <t>12.0</t>
  </si>
  <si>
    <t>Degassing Valve Testing Rig</t>
  </si>
  <si>
    <t>Closing Pressure</t>
  </si>
  <si>
    <t>6.0</t>
  </si>
  <si>
    <t>Leakage Around Seal (Bypass)</t>
  </si>
  <si>
    <t>Submerged Pressure Tester</t>
  </si>
  <si>
    <t>Valve Filter</t>
  </si>
  <si>
    <t>Filter Mesh Attachment</t>
  </si>
  <si>
    <t>100% Intact</t>
  </si>
  <si>
    <t>Intact</t>
  </si>
  <si>
    <t>Tactile &amp; Visual Inspection</t>
  </si>
  <si>
    <t>Bond Strength (Initial)</t>
  </si>
  <si>
    <t>Joints Count per Roll</t>
  </si>
  <si>
    <t>Bubble Test</t>
  </si>
  <si>
    <t>MASTER QUALITY CONTROL SPECIFICATION &amp; SAMPLING PROCEDURE SHEET - RAW MATERIAL (RM) INCOMING INSPECTION</t>
  </si>
  <si>
    <t>RM Category</t>
  </si>
  <si>
    <t>Item / Material</t>
  </si>
  <si>
    <t>Substrates &amp; Films</t>
  </si>
  <si>
    <t>BOPP / PET / PE / CPP Film</t>
  </si>
  <si>
    <t>Film Thickness / Caliper</t>
  </si>
  <si>
    <t>µm (Micron)</t>
  </si>
  <si>
    <t>Nominal - 5%</t>
  </si>
  <si>
    <t>Nominal + 5%</t>
  </si>
  <si>
    <t>Digital Micrometer / Dial Gauge</t>
  </si>
  <si>
    <t>Inbound Lot / Shipment</t>
  </si>
  <si>
    <t>5 Rolls / Pallet</t>
  </si>
  <si>
    <t>Normal (AQL 1.0)</t>
  </si>
  <si>
    <t>Every Received Batch</t>
  </si>
  <si>
    <t>Film Grammage / Basis Weight</t>
  </si>
  <si>
    <t>Nominal - 3%</t>
  </si>
  <si>
    <t>Nominal + 3%</t>
  </si>
  <si>
    <t>GSM Cutter &amp; Analytical Balance</t>
  </si>
  <si>
    <t>3 Rolls / Pallet</t>
  </si>
  <si>
    <t>Random Roll Cut</t>
  </si>
  <si>
    <t>Normal (AQL 1.5)</t>
  </si>
  <si>
    <t>Surface Corona Treatment / Dyne Level</t>
  </si>
  <si>
    <t>Dyne Test Pens / Solutions</t>
  </si>
  <si>
    <t>All Rolls Sampled</t>
  </si>
  <si>
    <t>Outer &amp; Core Layers</t>
  </si>
  <si>
    <t>Normal (AQL 0.65)</t>
  </si>
  <si>
    <t>BOPP / PET / PE Film</t>
  </si>
  <si>
    <t>Coefficient of Friction (COF - Kinetic)</t>
  </si>
  <si>
    <t>Ratio</t>
  </si>
  <si>
    <t>0.20</t>
  </si>
  <si>
    <t>0.25</t>
  </si>
  <si>
    <t>0.35</t>
  </si>
  <si>
    <t>COF Tester (ASTM D1894)</t>
  </si>
  <si>
    <t>Film-to-Film (Outside/Inside)</t>
  </si>
  <si>
    <t>BOPP / PET Film</t>
  </si>
  <si>
    <t>Tensile Strength &amp; Elongation (MD/TD)</t>
  </si>
  <si>
    <t>MPa / %</t>
  </si>
  <si>
    <t>Nominal - 10%</t>
  </si>
  <si>
    <t>Nominal + 10%</t>
  </si>
  <si>
    <t>2 Rolls / Lot</t>
  </si>
  <si>
    <t>MD and TD Strips</t>
  </si>
  <si>
    <t>Normal (AQL 2.5)</t>
  </si>
  <si>
    <t>Per Supplier Certificate / Spot Check</t>
  </si>
  <si>
    <t>Thermal Shrinkage (MD/TD)</t>
  </si>
  <si>
    <t>0.0%</t>
  </si>
  <si>
    <t>1.5%</t>
  </si>
  <si>
    <t>2.5%</t>
  </si>
  <si>
    <t>Hot Air Oven (150°C / 5 min)</t>
  </si>
  <si>
    <t>MD and TD Cutouts</t>
  </si>
  <si>
    <t>Printing Inks &amp; Solvents</t>
  </si>
  <si>
    <t>Viscosity (As Delivered)</t>
  </si>
  <si>
    <t>25</t>
  </si>
  <si>
    <t>35</t>
  </si>
  <si>
    <t>45</t>
  </si>
  <si>
    <t>Zahn Cup #4 / Ford Cup #4</t>
  </si>
  <si>
    <t>Inbound Lot / Batch</t>
  </si>
  <si>
    <t>1 Drum per Batch</t>
  </si>
  <si>
    <t>Top / Middle / Bottom</t>
  </si>
  <si>
    <t>Every Delivered Drum</t>
  </si>
  <si>
    <t>Specific Gravity / Density</t>
  </si>
  <si>
    <t>g/cm³</t>
  </si>
  <si>
    <t>0.95</t>
  </si>
  <si>
    <t>1.05</t>
  </si>
  <si>
    <t>1.15</t>
  </si>
  <si>
    <t>Pycnometer / Hydrometer</t>
  </si>
  <si>
    <t>1 Sample per Batch</t>
  </si>
  <si>
    <t>Mixed Ink Drum Sample</t>
  </si>
  <si>
    <t>Every Delivered Batch</t>
  </si>
  <si>
    <t>Solid Content (NVC)</t>
  </si>
  <si>
    <t>30%</t>
  </si>
  <si>
    <t>35%</t>
  </si>
  <si>
    <t>45%</t>
  </si>
  <si>
    <t>Moisture / Moisture-Moist Balance</t>
  </si>
  <si>
    <t>Evaporation Dish Test</t>
  </si>
  <si>
    <t>Per Supplier COA / Spot Check</t>
  </si>
  <si>
    <t>Color Match (Wet &amp; Dry Drawdown)</t>
  </si>
  <si>
    <t>Spectrophotometer vs Master Sample</t>
  </si>
  <si>
    <t>1 Sample per Drum</t>
  </si>
  <si>
    <t>Standard Lab Proofing</t>
  </si>
  <si>
    <t>Tightened (AQL 0.65)</t>
  </si>
  <si>
    <t>Every Ink Batch / Color</t>
  </si>
  <si>
    <t>Solvents (EA / IPA / TOL)</t>
  </si>
  <si>
    <t>Solvent Purity / Gas Chromatography</t>
  </si>
  <si>
    <t>% Purity</t>
  </si>
  <si>
    <t>99.0%</t>
  </si>
  <si>
    <t>99.5%</t>
  </si>
  <si>
    <t>Gas Chromatography / Refractometer</t>
  </si>
  <si>
    <t>Inbound Tanker / Barrel</t>
  </si>
  <si>
    <t>1 Sample per Barrel/Tanker</t>
  </si>
  <si>
    <t>Tanker Top/Bottom Sampling</t>
  </si>
  <si>
    <t>Every Tanker Delivery</t>
  </si>
  <si>
    <t>Water Content / Moisture</t>
  </si>
  <si>
    <t>0.05%</t>
  </si>
  <si>
    <t>0.20%</t>
  </si>
  <si>
    <t>Karl Fischer Titrator</t>
  </si>
  <si>
    <t>1 Sample per Tanker</t>
  </si>
  <si>
    <t>Sealed Container Sampling</t>
  </si>
  <si>
    <t>Adhesives &amp; Resins</t>
  </si>
  <si>
    <t>Component Ratio / Mixing Viscosity</t>
  </si>
  <si>
    <t>mPa·s</t>
  </si>
  <si>
    <t>800</t>
  </si>
  <si>
    <t>1200</t>
  </si>
  <si>
    <t>1600</t>
  </si>
  <si>
    <t>Brookfield Viscometer</t>
  </si>
  <si>
    <t>Inbound Lot / Drum</t>
  </si>
  <si>
    <t>1 Container per Batch</t>
  </si>
  <si>
    <t>Part A &amp; Part B Tests</t>
  </si>
  <si>
    <t>Solid Content (Part A / Part B)</t>
  </si>
  <si>
    <t>98%</t>
  </si>
  <si>
    <t>Lab Oven Evaporation Test</t>
  </si>
  <si>
    <t>Lab Weighing</t>
  </si>
  <si>
    <t>Per Supplier COA / Verification</t>
  </si>
  <si>
    <t>Accessories &amp; Consumables</t>
  </si>
  <si>
    <t>Degassing Valves</t>
  </si>
  <si>
    <t>Valve Dimensions (Outer Dia / Height)</t>
  </si>
  <si>
    <t>Nominal - 0.1</t>
  </si>
  <si>
    <t>Nominal + 0.1</t>
  </si>
  <si>
    <t>Digital Vernier Caliper</t>
  </si>
  <si>
    <t>Inbound Carton Lot</t>
  </si>
  <si>
    <t>80 Valves per Lot (AQL)</t>
  </si>
  <si>
    <t>Random Selection (MIL-STD-105E)</t>
  </si>
  <si>
    <t>Every Delivered Box Lot</t>
  </si>
  <si>
    <t>Cracking Pressure (Opening)</t>
  </si>
  <si>
    <t>Degassing Valve Test Bench</t>
  </si>
  <si>
    <t>32 Valves per Lot</t>
  </si>
  <si>
    <t>Pneumatic Pressure Rig</t>
  </si>
  <si>
    <t>Press-to-Close Zipper Profile</t>
  </si>
  <si>
    <t>Zipper Flange Width / Lock Height</t>
  </si>
  <si>
    <t>Nominal - 0.2</t>
  </si>
  <si>
    <t>Nominal + 0.2</t>
  </si>
  <si>
    <t>Optical Comparator / Caliper</t>
  </si>
  <si>
    <t>Inbound Spool Lot</t>
  </si>
  <si>
    <t>3 Spools per Box</t>
  </si>
  <si>
    <t>Spool Outer/Inner Layer</t>
  </si>
  <si>
    <t>Every Received Shipment</t>
  </si>
  <si>
    <t>Zipper Holding / Opening Force</t>
  </si>
  <si>
    <t>N/25mm</t>
  </si>
  <si>
    <t>Tensile Tester Pull Test</t>
  </si>
  <si>
    <t>Manual &amp; Tensile Pull</t>
  </si>
  <si>
    <t>Paper Core</t>
  </si>
  <si>
    <t>Core Inner Diameter (3" / 6")</t>
  </si>
  <si>
    <t>Plug Gauge / Vernier Caliper</t>
  </si>
  <si>
    <t>Inbound Bundle Lot</t>
  </si>
  <si>
    <t>10 Cores per Pallet</t>
  </si>
  <si>
    <t>Both Core Ends</t>
  </si>
  <si>
    <t>Every Core Delivery</t>
  </si>
  <si>
    <t>Core Wall Thickness &amp; Crush Strength</t>
  </si>
  <si>
    <t>mm / kN</t>
  </si>
  <si>
    <t>9.5 / 3.0</t>
  </si>
  <si>
    <t>10.0 / 4.0</t>
  </si>
  <si>
    <t>11.0 / N/A</t>
  </si>
  <si>
    <t>Vernier Caliper &amp; Radial Crush Tester</t>
  </si>
  <si>
    <t>5 Cores per Pallet</t>
  </si>
  <si>
    <t>Radial Force Application</t>
  </si>
  <si>
    <t>Mounting Tape (Sticky Back)</t>
  </si>
  <si>
    <t>Tape Thickness Uniformity</t>
  </si>
  <si>
    <t>0.49</t>
  </si>
  <si>
    <t>0.51</t>
  </si>
  <si>
    <t>Inbound Roll Lot</t>
  </si>
  <si>
    <t>3 Rolls per Box</t>
  </si>
  <si>
    <t>Across Tape Width</t>
  </si>
  <si>
    <t>Every Delivered Shipment</t>
  </si>
  <si>
    <t>Flexo Inks (NC / PU )</t>
  </si>
  <si>
    <t>Solventless Adhesive</t>
  </si>
  <si>
    <t>RM code creation</t>
  </si>
  <si>
    <t>Sending to Qc with full information about the customer or product details where we are going to use</t>
  </si>
  <si>
    <t>Confirmation given by Quality manager</t>
  </si>
  <si>
    <t>PR made by planner</t>
  </si>
  <si>
    <t>Approved by Manager</t>
  </si>
  <si>
    <t>PO made by purchase</t>
  </si>
  <si>
    <t>Film Substrates</t>
  </si>
  <si>
    <t>Thickness / Gauge</t>
  </si>
  <si>
    <t>Web Width</t>
  </si>
  <si>
    <t>Roll Outer Dia (OD)</t>
  </si>
  <si>
    <t>Core ID</t>
  </si>
  <si>
    <t>Procurement UOM</t>
  </si>
  <si>
    <t>Printing Inks</t>
  </si>
  <si>
    <t>Ink Base</t>
  </si>
  <si>
    <t>Supplier name</t>
  </si>
  <si>
    <t>Color / Shade Code</t>
  </si>
  <si>
    <t>Viscosity Range (as delivered)</t>
  </si>
  <si>
    <t>Pack Size / Type</t>
  </si>
  <si>
    <t>Solvents</t>
  </si>
  <si>
    <t>Chemical Name / Grade</t>
  </si>
  <si>
    <t>Purity Percentage</t>
  </si>
  <si>
    <t>Container Type/ Pack Size / Type</t>
  </si>
  <si>
    <t>Lamination Adhesives</t>
  </si>
  <si>
    <t xml:space="preserve">Adhesive Type </t>
  </si>
  <si>
    <t>Solid Content %</t>
  </si>
  <si>
    <t>Viscosity / Mixing Ratio</t>
  </si>
  <si>
    <r>
      <t>Pack Size</t>
    </r>
    <r>
      <rPr>
        <sz val="11"/>
        <color theme="1"/>
        <rFont val="Calibri"/>
        <family val="2"/>
        <scheme val="minor"/>
      </rPr>
      <t xml:space="preserve"> </t>
    </r>
  </si>
  <si>
    <t>Dimension</t>
  </si>
  <si>
    <t>Material / Color</t>
  </si>
  <si>
    <t>Wall Thickness / Height</t>
  </si>
  <si>
    <t>Pack Quantity</t>
  </si>
  <si>
    <t>Zippers</t>
  </si>
  <si>
    <t>Spool Length / Pack Qty</t>
  </si>
  <si>
    <t>Paper Cores</t>
  </si>
  <si>
    <t>Measuring tapes</t>
  </si>
  <si>
    <t>Calculators</t>
  </si>
  <si>
    <t>Gloves</t>
  </si>
  <si>
    <t>Tool box for machine ( operator use only)</t>
  </si>
  <si>
    <t>Doctor blades</t>
  </si>
  <si>
    <t>Anilox Rollers</t>
  </si>
  <si>
    <t>Printing Sleeves</t>
  </si>
  <si>
    <t>End Seals</t>
  </si>
  <si>
    <t>Brush for cleaning anilox and plates</t>
  </si>
  <si>
    <t>Spectrophotometer</t>
  </si>
  <si>
    <t>Din Cup 4</t>
  </si>
  <si>
    <t>Stop Watch</t>
  </si>
  <si>
    <t>Knife blades</t>
  </si>
  <si>
    <t>Cello tapes</t>
  </si>
  <si>
    <t>Cotton Waste</t>
  </si>
  <si>
    <t>Teflon Damps</t>
  </si>
  <si>
    <t>Static Mixer</t>
  </si>
  <si>
    <t>Glue head</t>
  </si>
  <si>
    <t>Aluminium Nozzle</t>
  </si>
  <si>
    <t>Cores 6"</t>
  </si>
  <si>
    <t>Transfer Sleeves</t>
  </si>
  <si>
    <t>Mounting tapes</t>
  </si>
  <si>
    <t>Pressure Rollers</t>
  </si>
  <si>
    <t>Side tapes for Mounting</t>
  </si>
  <si>
    <t xml:space="preserve">GSM cutter </t>
  </si>
  <si>
    <t>Sample Bottles</t>
  </si>
  <si>
    <t>Stirrers</t>
  </si>
  <si>
    <t>Pantone book - Coated /uncoated</t>
  </si>
  <si>
    <t>Transmission Densitometer</t>
  </si>
  <si>
    <t>Printing</t>
  </si>
  <si>
    <t>Pouching</t>
  </si>
  <si>
    <t>Production</t>
  </si>
  <si>
    <t>Planning</t>
  </si>
  <si>
    <t>Quality</t>
  </si>
  <si>
    <t>Sales</t>
  </si>
  <si>
    <t>Stores</t>
  </si>
  <si>
    <t>Inks</t>
  </si>
  <si>
    <t>30cm Rulers</t>
  </si>
  <si>
    <t>Optical Lens</t>
  </si>
  <si>
    <t>Prepress</t>
  </si>
  <si>
    <t>Dyne Pen or solutions</t>
  </si>
  <si>
    <t>Barcode Reader</t>
  </si>
  <si>
    <t>Cadence</t>
  </si>
  <si>
    <t>As per ROP</t>
  </si>
  <si>
    <t>Single time</t>
  </si>
  <si>
    <t>Mixed</t>
  </si>
  <si>
    <t>Gas Chromatography</t>
  </si>
  <si>
    <t>Tensile Tester</t>
  </si>
  <si>
    <t>Leak tester</t>
  </si>
  <si>
    <t>Solid content Analyzer</t>
  </si>
  <si>
    <t>Oven</t>
  </si>
  <si>
    <t>Digital Micrometers</t>
  </si>
  <si>
    <t>Digital Vernier caliper</t>
  </si>
  <si>
    <t>Seal Testing</t>
  </si>
  <si>
    <t>Digital Weighing scale - Portable small</t>
  </si>
  <si>
    <t>Digital Weighing scale - Fixed Big</t>
  </si>
  <si>
    <t>Consumables &amp; Materials</t>
  </si>
  <si>
    <t>For plate inventory</t>
  </si>
  <si>
    <t>design name</t>
  </si>
  <si>
    <t>Job code</t>
  </si>
  <si>
    <t>Customer name</t>
  </si>
  <si>
    <t>Customer code</t>
  </si>
  <si>
    <t>One up size</t>
  </si>
  <si>
    <t>No of ups</t>
  </si>
  <si>
    <t>One repeat Size</t>
  </si>
  <si>
    <t>No of Repeats</t>
  </si>
  <si>
    <t>Circumference</t>
  </si>
  <si>
    <t>Print Width</t>
  </si>
  <si>
    <t>Film Width</t>
  </si>
  <si>
    <t>Sleeve Size</t>
  </si>
  <si>
    <t>preparing the TDS for that RM + Intake Quality checking parameters and sampling procedures</t>
  </si>
  <si>
    <t>RM</t>
  </si>
  <si>
    <t>QC</t>
  </si>
  <si>
    <t>Non Qc</t>
  </si>
  <si>
    <t>TDS+Quality Intake checking+Sampling Procedure</t>
  </si>
  <si>
    <t>Confirmation from Qc manager</t>
  </si>
  <si>
    <t>PR made</t>
  </si>
  <si>
    <t>Approval by Manager</t>
  </si>
  <si>
    <t>PO making</t>
  </si>
  <si>
    <t>RM Creation</t>
  </si>
  <si>
    <t>Sub category selection</t>
  </si>
  <si>
    <t>Planner</t>
  </si>
  <si>
    <t>GM</t>
  </si>
  <si>
    <t>Purchase</t>
  </si>
  <si>
    <t>Concerned Dept</t>
  </si>
  <si>
    <t>Consumables</t>
  </si>
  <si>
    <t xml:space="preserve"> Printing Machine Accessories</t>
  </si>
  <si>
    <t>Lamination Machine Accessories</t>
  </si>
  <si>
    <t>Ink Filtering Mesh</t>
  </si>
  <si>
    <t>Razor blades</t>
  </si>
  <si>
    <t xml:space="preserve">Printing Plates  </t>
  </si>
  <si>
    <t>Adapter Sleeves</t>
  </si>
  <si>
    <t>Ink Pumps</t>
  </si>
  <si>
    <t>Sleeve Storage Racks</t>
  </si>
  <si>
    <t># need a provision to add these categories</t>
  </si>
  <si>
    <t xml:space="preserve"># need a provision to add </t>
  </si>
  <si>
    <t>Ink hoses</t>
  </si>
  <si>
    <t xml:space="preserve">Bearings </t>
  </si>
  <si>
    <t>Journal Bush</t>
  </si>
  <si>
    <t>Roller Bearings</t>
  </si>
  <si>
    <t>Pneumatic Pressure Regulators</t>
  </si>
  <si>
    <t>Journal Blocks</t>
  </si>
  <si>
    <t>Slitting Machine Accessories</t>
  </si>
  <si>
    <t>Pouching Machine Accessories</t>
  </si>
  <si>
    <t>Valving Machine Accessories</t>
  </si>
  <si>
    <t>Durable lab gauges</t>
  </si>
  <si>
    <t>Capex</t>
  </si>
  <si>
    <t>Inventory</t>
  </si>
  <si>
    <t>Films</t>
  </si>
  <si>
    <t>Plates</t>
  </si>
  <si>
    <t>Cores</t>
  </si>
  <si>
    <t>Chemical</t>
  </si>
  <si>
    <t>Pouching Components</t>
  </si>
  <si>
    <t>Categories</t>
  </si>
  <si>
    <t>Bopp / Pet / Mpet / PE / AL</t>
  </si>
  <si>
    <t>Inpsection Method</t>
  </si>
  <si>
    <t>Measurement per Sample</t>
  </si>
  <si>
    <t>Catalogs Setup</t>
  </si>
  <si>
    <t>Values</t>
  </si>
  <si>
    <t>Mic-1</t>
  </si>
  <si>
    <t>TDS Parameters</t>
  </si>
  <si>
    <t>Inspection Parameters</t>
  </si>
  <si>
    <t>RM - Pet 12 mic 560mm</t>
  </si>
  <si>
    <t>RM- PET 12 mic 560mm ( once this table has been created for this inventory it will be followed for everytime)</t>
  </si>
  <si>
    <t>From Good receipt note: Qc should approach this page</t>
  </si>
  <si>
    <t>#select the RM received</t>
  </si>
  <si>
    <t>Mic-2</t>
  </si>
  <si>
    <t>Mic-3</t>
  </si>
  <si>
    <t>Mic-4</t>
  </si>
  <si>
    <t>Mic-5</t>
  </si>
  <si>
    <t>Property</t>
  </si>
  <si>
    <t>Mic-1 (# select the predefined TDS property  of RM pet 12 mic 560mm to check)</t>
  </si>
  <si>
    <t>Log1</t>
  </si>
  <si>
    <t>Log2</t>
  </si>
  <si>
    <t>Log3</t>
  </si>
  <si>
    <t>add new log as per # measurement per sample</t>
  </si>
  <si>
    <t>#fetched from TDS</t>
  </si>
  <si>
    <t>#manual Entry</t>
  </si>
  <si>
    <t>Catalog error</t>
  </si>
  <si>
    <t>Log sheet (date should be system generated)</t>
  </si>
  <si>
    <t>#select from predefined  list</t>
  </si>
  <si>
    <t xml:space="preserve">PO.No </t>
  </si>
  <si>
    <t>(#auto fetched from good receipt note , select from the pending list of PO - RM to be checked)</t>
  </si>
  <si>
    <t xml:space="preserve">Batch.No </t>
  </si>
  <si>
    <t>(#auto fetched from good receipt note ( if more than one batch I need to be checked batch wise , select from the list for pending ))</t>
  </si>
  <si>
    <t>UOM ( Drop Down)</t>
  </si>
  <si>
    <t>Code</t>
  </si>
  <si>
    <t>Error Description</t>
  </si>
  <si>
    <t>RM001</t>
  </si>
  <si>
    <t>Thickness variation (Micron deviation out of spec)</t>
  </si>
  <si>
    <t>RM002</t>
  </si>
  <si>
    <t>Roll width variation</t>
  </si>
  <si>
    <t>RM003</t>
  </si>
  <si>
    <t>Telescoping roll</t>
  </si>
  <si>
    <t>RM004</t>
  </si>
  <si>
    <t>Core damage / Core collapse</t>
  </si>
  <si>
    <t>RM005</t>
  </si>
  <si>
    <t>Corona treatment failure (Low Dyne level)</t>
  </si>
  <si>
    <t>RM006</t>
  </si>
  <si>
    <t>Gel spots / Polymer lumps</t>
  </si>
  <si>
    <t>RM007</t>
  </si>
  <si>
    <t>Pinholes / Micro-perforations</t>
  </si>
  <si>
    <t>RM008</t>
  </si>
  <si>
    <t>Film wrinkles / Creases</t>
  </si>
  <si>
    <t>RM009</t>
  </si>
  <si>
    <t>Edge damage / Nicked edges</t>
  </si>
  <si>
    <t>RM010</t>
  </si>
  <si>
    <t>Surface scratches / Abrasions</t>
  </si>
  <si>
    <t>RM011</t>
  </si>
  <si>
    <t>RM012</t>
  </si>
  <si>
    <t>Viscosity out of specification (Inks / Adhesives)</t>
  </si>
  <si>
    <t>RM013</t>
  </si>
  <si>
    <t>Moisture contamination / Water ingress</t>
  </si>
  <si>
    <t>RM014</t>
  </si>
  <si>
    <t>Phase separation / Settling (Adhesives / Coatings)</t>
  </si>
  <si>
    <t>RM015</t>
  </si>
  <si>
    <t>Expired shelf life / Pot life exceeded</t>
  </si>
  <si>
    <t>RM016</t>
  </si>
  <si>
    <t>Incorrect solid content percentage</t>
  </si>
  <si>
    <t>RM017</t>
  </si>
  <si>
    <t>Packaging container / Drum leakage or damage</t>
  </si>
  <si>
    <t>RM018</t>
  </si>
  <si>
    <t>Labeling / Batch number mismatch</t>
  </si>
  <si>
    <t>RM019</t>
  </si>
  <si>
    <t>Foreign particle contamination</t>
  </si>
  <si>
    <t>RM020</t>
  </si>
  <si>
    <t>High residual solvent / Odor in raw material</t>
  </si>
  <si>
    <t>Color shade variation (Inks)</t>
  </si>
  <si>
    <t>Errors</t>
  </si>
  <si>
    <t># used by Qc Controller</t>
  </si>
  <si>
    <t>#used by Line Qc Inspector</t>
  </si>
  <si>
    <t>Note:</t>
  </si>
  <si>
    <t>Duplication option Required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</si>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</sst>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F497D"/>
      <name val="Calibri"/>
      <family val="2"/>
    </font>
    <font>
      <sz val="10"/>
      <color rgb="FF333333"/>
      <name val="Calibri"/>
      <family val="2"/>
    </font>
    <font>
      <b/>
      <sz val="13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3E50"/>
        <bgColor rgb="FF2C3E50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6" fillId="6" borderId="0" xfId="0" applyFont="1" applyFill="1"/>
    <xf numFmtId="0" fontId="6" fillId="0" borderId="2" xfId="0" applyFont="1" applyBorder="1"/>
    <xf numFmtId="0" fontId="0" fillId="0" borderId="0" xfId="0" applyAlignment="1">
      <alignment horizontal="left" vertical="center"/>
    </xf>
    <xf numFmtId="0" fontId="0" fillId="0" borderId="3" xfId="0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7" xfId="0" applyFont="1" applyBorder="1" applyAlignment="1">
      <alignment horizontal="right" vertical="center" readingOrder="1"/>
    </xf>
    <xf numFmtId="0" fontId="7" fillId="0" borderId="7" xfId="0" applyFont="1" applyBorder="1" applyAlignment="1">
      <alignment horizontal="right" vertical="center" readingOrder="1"/>
    </xf>
    <xf numFmtId="0" fontId="7" fillId="0" borderId="7" xfId="0" applyFont="1" applyBorder="1" applyAlignment="1">
      <alignment horizontal="left" vertical="center" readingOrder="1"/>
    </xf>
    <xf numFmtId="0" fontId="8" fillId="0" borderId="7" xfId="0" applyFont="1" applyBorder="1" applyAlignment="1">
      <alignment horizontal="center" readingOrder="1"/>
    </xf>
    <xf numFmtId="0" fontId="0" fillId="8" borderId="0" xfId="0" applyFill="1"/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opLeftCell="B1" workbookViewId="0">
      <selection activeCell="C15" sqref="C15"/>
    </sheetView>
  </sheetViews>
  <sheetFormatPr defaultRowHeight="14.4" outlineLevelCol="1" x14ac:dyDescent="0.3"/>
  <cols>
    <col min="1" max="2" width="18" customWidth="1"/>
    <col min="3" max="3" width="35" customWidth="1"/>
    <col min="4" max="4" width="14" customWidth="1" outlineLevel="1"/>
    <col min="5" max="7" width="16" customWidth="1" outlineLevel="1"/>
    <col min="8" max="8" width="40" customWidth="1" outlineLevel="1"/>
    <col min="9" max="9" width="24" customWidth="1"/>
    <col min="10" max="10" width="16" customWidth="1"/>
    <col min="11" max="12" width="24" customWidth="1"/>
    <col min="13" max="13" width="18" customWidth="1"/>
    <col min="14" max="14" width="26" customWidth="1"/>
  </cols>
  <sheetData>
    <row r="1" spans="1:14" ht="37.950000000000003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8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1" customHeight="1" x14ac:dyDescent="0.3">
      <c r="A3" s="2" t="s">
        <v>15</v>
      </c>
      <c r="B3" s="3" t="s">
        <v>16</v>
      </c>
      <c r="C3" s="3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3" t="s">
        <v>22</v>
      </c>
      <c r="I3" s="4" t="s">
        <v>23</v>
      </c>
      <c r="J3" s="4" t="s">
        <v>24</v>
      </c>
      <c r="K3" s="4">
        <v>3</v>
      </c>
      <c r="L3" s="4" t="s">
        <v>25</v>
      </c>
      <c r="M3" s="4" t="s">
        <v>26</v>
      </c>
      <c r="N3" s="4" t="s">
        <v>27</v>
      </c>
    </row>
    <row r="4" spans="1:14" ht="21" customHeight="1" x14ac:dyDescent="0.3">
      <c r="A4" s="5" t="s">
        <v>15</v>
      </c>
      <c r="B4" s="6" t="s">
        <v>28</v>
      </c>
      <c r="C4" s="6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6" t="s">
        <v>34</v>
      </c>
      <c r="I4" s="7" t="s">
        <v>23</v>
      </c>
      <c r="J4" s="7" t="s">
        <v>24</v>
      </c>
      <c r="K4" s="7">
        <v>5</v>
      </c>
      <c r="L4" s="7" t="s">
        <v>35</v>
      </c>
      <c r="M4" s="7" t="s">
        <v>26</v>
      </c>
      <c r="N4" s="7" t="s">
        <v>36</v>
      </c>
    </row>
    <row r="5" spans="1:14" ht="21" customHeight="1" x14ac:dyDescent="0.3">
      <c r="A5" s="5" t="s">
        <v>15</v>
      </c>
      <c r="B5" s="6" t="s">
        <v>40</v>
      </c>
      <c r="C5" s="6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6" t="s">
        <v>46</v>
      </c>
      <c r="I5" s="7" t="s">
        <v>47</v>
      </c>
      <c r="J5" s="7" t="s">
        <v>48</v>
      </c>
      <c r="K5" s="7">
        <v>3</v>
      </c>
      <c r="L5" s="7" t="s">
        <v>49</v>
      </c>
      <c r="M5" s="7" t="s">
        <v>26</v>
      </c>
      <c r="N5" s="7" t="s">
        <v>50</v>
      </c>
    </row>
    <row r="6" spans="1:14" ht="21" customHeight="1" x14ac:dyDescent="0.3">
      <c r="A6" s="2" t="s">
        <v>54</v>
      </c>
      <c r="B6" s="3" t="s">
        <v>55</v>
      </c>
      <c r="C6" s="3" t="s">
        <v>56</v>
      </c>
      <c r="D6" s="4" t="s">
        <v>51</v>
      </c>
      <c r="E6" s="4" t="s">
        <v>52</v>
      </c>
      <c r="F6" s="4" t="s">
        <v>52</v>
      </c>
      <c r="G6" s="4" t="s">
        <v>57</v>
      </c>
      <c r="H6" s="3" t="s">
        <v>58</v>
      </c>
      <c r="I6" s="4" t="s">
        <v>59</v>
      </c>
      <c r="J6" s="4" t="s">
        <v>59</v>
      </c>
      <c r="K6" s="4">
        <v>3</v>
      </c>
      <c r="L6" s="4" t="s">
        <v>25</v>
      </c>
      <c r="M6" s="4" t="s">
        <v>26</v>
      </c>
      <c r="N6" s="4" t="s">
        <v>25</v>
      </c>
    </row>
    <row r="7" spans="1:14" ht="21" customHeight="1" x14ac:dyDescent="0.3">
      <c r="A7" s="5" t="s">
        <v>54</v>
      </c>
      <c r="B7" s="6" t="s">
        <v>55</v>
      </c>
      <c r="C7" s="6" t="s">
        <v>60</v>
      </c>
      <c r="D7" s="7" t="s">
        <v>61</v>
      </c>
      <c r="E7" s="7" t="s">
        <v>62</v>
      </c>
      <c r="F7" s="7" t="s">
        <v>37</v>
      </c>
      <c r="G7" s="7" t="s">
        <v>63</v>
      </c>
      <c r="H7" s="6" t="s">
        <v>64</v>
      </c>
      <c r="I7" s="7" t="s">
        <v>59</v>
      </c>
      <c r="J7" s="7" t="s">
        <v>59</v>
      </c>
      <c r="K7" s="7">
        <v>3</v>
      </c>
      <c r="L7" s="7" t="s">
        <v>25</v>
      </c>
      <c r="M7" s="7" t="s">
        <v>26</v>
      </c>
      <c r="N7" s="7" t="s">
        <v>25</v>
      </c>
    </row>
    <row r="8" spans="1:14" ht="21" customHeight="1" x14ac:dyDescent="0.3">
      <c r="A8" s="2" t="s">
        <v>54</v>
      </c>
      <c r="B8" s="3" t="s">
        <v>55</v>
      </c>
      <c r="C8" s="3" t="s">
        <v>65</v>
      </c>
      <c r="D8" s="4" t="s">
        <v>30</v>
      </c>
      <c r="E8" s="4" t="s">
        <v>66</v>
      </c>
      <c r="F8" s="4" t="s">
        <v>67</v>
      </c>
      <c r="G8" s="4" t="s">
        <v>68</v>
      </c>
      <c r="H8" s="3" t="s">
        <v>69</v>
      </c>
      <c r="I8" s="4" t="s">
        <v>59</v>
      </c>
      <c r="J8" s="4" t="s">
        <v>59</v>
      </c>
      <c r="K8" s="4">
        <v>3</v>
      </c>
      <c r="L8" s="4" t="s">
        <v>25</v>
      </c>
      <c r="M8" s="4" t="s">
        <v>26</v>
      </c>
      <c r="N8" s="4" t="s">
        <v>25</v>
      </c>
    </row>
    <row r="9" spans="1:14" ht="21" customHeight="1" x14ac:dyDescent="0.3">
      <c r="A9" s="5" t="s">
        <v>54</v>
      </c>
      <c r="B9" s="6" t="s">
        <v>55</v>
      </c>
      <c r="C9" s="6" t="s">
        <v>70</v>
      </c>
      <c r="D9" s="7" t="s">
        <v>38</v>
      </c>
      <c r="E9" s="7" t="s">
        <v>71</v>
      </c>
      <c r="F9" s="7" t="s">
        <v>52</v>
      </c>
      <c r="G9" s="7" t="s">
        <v>72</v>
      </c>
      <c r="H9" s="6" t="s">
        <v>73</v>
      </c>
      <c r="I9" s="7" t="s">
        <v>59</v>
      </c>
      <c r="J9" s="7" t="s">
        <v>59</v>
      </c>
      <c r="K9" s="7">
        <v>3</v>
      </c>
      <c r="L9" s="7" t="s">
        <v>25</v>
      </c>
      <c r="M9" s="7" t="s">
        <v>26</v>
      </c>
      <c r="N9" s="7" t="s">
        <v>25</v>
      </c>
    </row>
    <row r="10" spans="1:14" ht="21" customHeight="1" x14ac:dyDescent="0.3">
      <c r="A10" s="2" t="s">
        <v>54</v>
      </c>
      <c r="B10" s="3" t="s">
        <v>74</v>
      </c>
      <c r="C10" s="3" t="s">
        <v>75</v>
      </c>
      <c r="D10" s="4" t="s">
        <v>76</v>
      </c>
      <c r="E10" s="4" t="s">
        <v>77</v>
      </c>
      <c r="F10" s="4" t="s">
        <v>78</v>
      </c>
      <c r="G10" s="4" t="s">
        <v>79</v>
      </c>
      <c r="H10" s="3" t="s">
        <v>80</v>
      </c>
      <c r="I10" s="4" t="s">
        <v>81</v>
      </c>
      <c r="J10" s="4" t="s">
        <v>81</v>
      </c>
      <c r="K10" s="4">
        <v>3</v>
      </c>
      <c r="L10" s="4" t="s">
        <v>82</v>
      </c>
      <c r="M10" s="4" t="s">
        <v>26</v>
      </c>
      <c r="N10" s="4" t="s">
        <v>83</v>
      </c>
    </row>
    <row r="11" spans="1:14" ht="21" customHeight="1" x14ac:dyDescent="0.3">
      <c r="A11" s="5" t="s">
        <v>84</v>
      </c>
      <c r="B11" s="6" t="s">
        <v>85</v>
      </c>
      <c r="C11" s="6" t="s">
        <v>86</v>
      </c>
      <c r="D11" s="7" t="s">
        <v>30</v>
      </c>
      <c r="E11" s="7" t="s">
        <v>87</v>
      </c>
      <c r="F11" s="7" t="s">
        <v>88</v>
      </c>
      <c r="G11" s="7" t="s">
        <v>88</v>
      </c>
      <c r="H11" s="6" t="s">
        <v>89</v>
      </c>
      <c r="I11" s="7" t="s">
        <v>59</v>
      </c>
      <c r="J11" s="7" t="s">
        <v>59</v>
      </c>
      <c r="K11" s="7">
        <v>3</v>
      </c>
      <c r="L11" s="7" t="s">
        <v>25</v>
      </c>
      <c r="M11" s="7" t="s">
        <v>26</v>
      </c>
      <c r="N11" s="7" t="s">
        <v>25</v>
      </c>
    </row>
    <row r="12" spans="1:14" ht="21" customHeight="1" x14ac:dyDescent="0.3">
      <c r="A12" s="2" t="s">
        <v>84</v>
      </c>
      <c r="B12" s="3" t="s">
        <v>85</v>
      </c>
      <c r="C12" s="3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3" t="s">
        <v>95</v>
      </c>
      <c r="I12" s="4" t="s">
        <v>96</v>
      </c>
      <c r="J12" s="4" t="s">
        <v>97</v>
      </c>
      <c r="K12" s="4">
        <v>3</v>
      </c>
      <c r="L12" s="4" t="s">
        <v>98</v>
      </c>
      <c r="M12" s="4" t="s">
        <v>26</v>
      </c>
      <c r="N12" s="4" t="s">
        <v>99</v>
      </c>
    </row>
    <row r="13" spans="1:14" ht="21" customHeight="1" x14ac:dyDescent="0.3">
      <c r="A13" s="5" t="s">
        <v>84</v>
      </c>
      <c r="B13" s="6" t="s">
        <v>85</v>
      </c>
      <c r="C13" s="6" t="s">
        <v>100</v>
      </c>
      <c r="D13" s="7" t="s">
        <v>38</v>
      </c>
      <c r="E13" s="7" t="s">
        <v>71</v>
      </c>
      <c r="F13" s="7" t="s">
        <v>32</v>
      </c>
      <c r="G13" s="7" t="s">
        <v>72</v>
      </c>
      <c r="H13" s="6" t="s">
        <v>101</v>
      </c>
      <c r="I13" s="7" t="s">
        <v>59</v>
      </c>
      <c r="J13" s="7" t="s">
        <v>59</v>
      </c>
      <c r="K13" s="7">
        <v>3</v>
      </c>
      <c r="L13" s="7" t="s">
        <v>25</v>
      </c>
      <c r="M13" s="7" t="s">
        <v>26</v>
      </c>
      <c r="N13" s="7" t="s">
        <v>25</v>
      </c>
    </row>
    <row r="14" spans="1:14" ht="21" customHeight="1" x14ac:dyDescent="0.3">
      <c r="A14" s="2" t="s">
        <v>84</v>
      </c>
      <c r="B14" s="3" t="s">
        <v>85</v>
      </c>
      <c r="C14" s="3" t="s">
        <v>102</v>
      </c>
      <c r="D14" s="4" t="s">
        <v>103</v>
      </c>
      <c r="E14" s="4" t="s">
        <v>104</v>
      </c>
      <c r="F14" s="4" t="s">
        <v>105</v>
      </c>
      <c r="G14" s="4" t="s">
        <v>105</v>
      </c>
      <c r="H14" s="3" t="s">
        <v>106</v>
      </c>
      <c r="I14" s="4" t="s">
        <v>59</v>
      </c>
      <c r="J14" s="4" t="s">
        <v>59</v>
      </c>
      <c r="K14" s="4">
        <v>3</v>
      </c>
      <c r="L14" s="4" t="s">
        <v>25</v>
      </c>
      <c r="M14" s="4" t="s">
        <v>26</v>
      </c>
      <c r="N14" s="4" t="s">
        <v>25</v>
      </c>
    </row>
    <row r="15" spans="1:14" ht="21" customHeight="1" x14ac:dyDescent="0.3">
      <c r="A15" s="5" t="s">
        <v>84</v>
      </c>
      <c r="B15" s="6" t="s">
        <v>85</v>
      </c>
      <c r="C15" s="6" t="s">
        <v>107</v>
      </c>
      <c r="D15" s="7" t="s">
        <v>108</v>
      </c>
      <c r="E15" s="7" t="s">
        <v>52</v>
      </c>
      <c r="F15" s="7" t="s">
        <v>52</v>
      </c>
      <c r="G15" s="7" t="s">
        <v>109</v>
      </c>
      <c r="H15" s="6" t="s">
        <v>110</v>
      </c>
      <c r="I15" s="7" t="s">
        <v>96</v>
      </c>
      <c r="J15" s="7" t="s">
        <v>111</v>
      </c>
      <c r="K15" s="7">
        <v>3</v>
      </c>
      <c r="L15" s="7" t="s">
        <v>112</v>
      </c>
      <c r="M15" s="7" t="s">
        <v>26</v>
      </c>
      <c r="N15" s="7" t="s">
        <v>113</v>
      </c>
    </row>
    <row r="16" spans="1:14" ht="21" customHeight="1" x14ac:dyDescent="0.3">
      <c r="A16" s="2" t="s">
        <v>114</v>
      </c>
      <c r="B16" s="3" t="s">
        <v>115</v>
      </c>
      <c r="C16" s="3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3" t="s">
        <v>121</v>
      </c>
      <c r="I16" s="4" t="s">
        <v>59</v>
      </c>
      <c r="J16" s="4" t="s">
        <v>59</v>
      </c>
      <c r="K16" s="4">
        <v>3</v>
      </c>
      <c r="L16" s="4" t="s">
        <v>25</v>
      </c>
      <c r="M16" s="4" t="s">
        <v>26</v>
      </c>
      <c r="N16" s="4" t="s">
        <v>25</v>
      </c>
    </row>
    <row r="17" spans="1:14" ht="21" customHeight="1" x14ac:dyDescent="0.3">
      <c r="A17" s="5" t="s">
        <v>114</v>
      </c>
      <c r="B17" s="6" t="s">
        <v>122</v>
      </c>
      <c r="C17" s="6" t="s">
        <v>123</v>
      </c>
      <c r="D17" s="7" t="s">
        <v>18</v>
      </c>
      <c r="E17" s="7" t="s">
        <v>19</v>
      </c>
      <c r="F17" s="7" t="s">
        <v>124</v>
      </c>
      <c r="G17" s="7" t="s">
        <v>125</v>
      </c>
      <c r="H17" s="6" t="s">
        <v>126</v>
      </c>
      <c r="I17" s="7" t="s">
        <v>59</v>
      </c>
      <c r="J17" s="7" t="s">
        <v>59</v>
      </c>
      <c r="K17" s="7">
        <v>3</v>
      </c>
      <c r="L17" s="7" t="s">
        <v>25</v>
      </c>
      <c r="M17" s="7" t="s">
        <v>26</v>
      </c>
      <c r="N17" s="7" t="s">
        <v>25</v>
      </c>
    </row>
    <row r="18" spans="1:14" ht="21" customHeight="1" x14ac:dyDescent="0.3">
      <c r="A18" s="2" t="s">
        <v>114</v>
      </c>
      <c r="B18" s="3" t="s">
        <v>127</v>
      </c>
      <c r="C18" s="3" t="s">
        <v>123</v>
      </c>
      <c r="D18" s="4" t="s">
        <v>18</v>
      </c>
      <c r="E18" s="4" t="s">
        <v>19</v>
      </c>
      <c r="F18" s="4" t="s">
        <v>124</v>
      </c>
      <c r="G18" s="4" t="s">
        <v>125</v>
      </c>
      <c r="H18" s="3" t="s">
        <v>126</v>
      </c>
      <c r="I18" s="4" t="s">
        <v>59</v>
      </c>
      <c r="J18" s="4" t="s">
        <v>59</v>
      </c>
      <c r="K18" s="4">
        <v>3</v>
      </c>
      <c r="L18" s="4" t="s">
        <v>25</v>
      </c>
      <c r="M18" s="4" t="s">
        <v>26</v>
      </c>
      <c r="N18" s="4" t="s">
        <v>25</v>
      </c>
    </row>
    <row r="19" spans="1:14" ht="21" customHeight="1" x14ac:dyDescent="0.3">
      <c r="A19" s="5" t="s">
        <v>114</v>
      </c>
      <c r="B19" s="6" t="s">
        <v>115</v>
      </c>
      <c r="C19" s="6" t="s">
        <v>251</v>
      </c>
      <c r="D19" s="7" t="s">
        <v>128</v>
      </c>
      <c r="E19" s="7" t="s">
        <v>129</v>
      </c>
      <c r="F19" s="7" t="s">
        <v>130</v>
      </c>
      <c r="G19" s="7" t="s">
        <v>94</v>
      </c>
      <c r="H19" s="6" t="s">
        <v>131</v>
      </c>
      <c r="I19" s="7" t="s">
        <v>59</v>
      </c>
      <c r="J19" s="7" t="s">
        <v>59</v>
      </c>
      <c r="K19" s="7">
        <v>3</v>
      </c>
      <c r="L19" s="7" t="s">
        <v>25</v>
      </c>
      <c r="M19" s="7" t="s">
        <v>26</v>
      </c>
      <c r="N19" s="7" t="s">
        <v>25</v>
      </c>
    </row>
    <row r="20" spans="1:14" ht="21" customHeight="1" x14ac:dyDescent="0.3">
      <c r="A20" s="2" t="s">
        <v>114</v>
      </c>
      <c r="B20" s="3" t="s">
        <v>115</v>
      </c>
      <c r="C20" s="3" t="s">
        <v>132</v>
      </c>
      <c r="D20" s="4" t="s">
        <v>128</v>
      </c>
      <c r="E20" s="4" t="s">
        <v>133</v>
      </c>
      <c r="F20" s="4" t="s">
        <v>134</v>
      </c>
      <c r="G20" s="4" t="s">
        <v>94</v>
      </c>
      <c r="H20" s="3" t="s">
        <v>135</v>
      </c>
      <c r="I20" s="4" t="s">
        <v>59</v>
      </c>
      <c r="J20" s="4" t="s">
        <v>59</v>
      </c>
      <c r="K20" s="4">
        <v>3</v>
      </c>
      <c r="L20" s="4" t="s">
        <v>25</v>
      </c>
      <c r="M20" s="4" t="s">
        <v>26</v>
      </c>
      <c r="N20" s="4" t="s">
        <v>25</v>
      </c>
    </row>
    <row r="21" spans="1:14" ht="21" customHeight="1" x14ac:dyDescent="0.3">
      <c r="A21" s="5" t="s">
        <v>114</v>
      </c>
      <c r="B21" s="6" t="s">
        <v>115</v>
      </c>
      <c r="C21" s="6" t="s">
        <v>136</v>
      </c>
      <c r="D21" s="7" t="s">
        <v>128</v>
      </c>
      <c r="E21" s="7" t="s">
        <v>137</v>
      </c>
      <c r="F21" s="7" t="s">
        <v>138</v>
      </c>
      <c r="G21" s="7" t="s">
        <v>94</v>
      </c>
      <c r="H21" s="6" t="s">
        <v>139</v>
      </c>
      <c r="I21" s="7" t="s">
        <v>59</v>
      </c>
      <c r="J21" s="7" t="s">
        <v>59</v>
      </c>
      <c r="K21" s="7">
        <v>3</v>
      </c>
      <c r="L21" s="7" t="s">
        <v>25</v>
      </c>
      <c r="M21" s="7" t="s">
        <v>26</v>
      </c>
      <c r="N21" s="7" t="s">
        <v>25</v>
      </c>
    </row>
    <row r="22" spans="1:14" ht="21" customHeight="1" x14ac:dyDescent="0.3">
      <c r="A22" s="5" t="s">
        <v>114</v>
      </c>
      <c r="B22" s="6" t="s">
        <v>115</v>
      </c>
      <c r="C22" s="6" t="s">
        <v>141</v>
      </c>
      <c r="D22" s="7" t="s">
        <v>30</v>
      </c>
      <c r="E22" s="7" t="s">
        <v>52</v>
      </c>
      <c r="F22" s="7" t="s">
        <v>142</v>
      </c>
      <c r="G22" s="7" t="s">
        <v>143</v>
      </c>
      <c r="H22" s="6" t="s">
        <v>144</v>
      </c>
      <c r="I22" s="7" t="s">
        <v>59</v>
      </c>
      <c r="J22" s="7" t="s">
        <v>59</v>
      </c>
      <c r="K22" s="7">
        <v>3</v>
      </c>
      <c r="L22" s="7" t="s">
        <v>25</v>
      </c>
      <c r="M22" s="7" t="s">
        <v>26</v>
      </c>
      <c r="N22" s="7" t="s">
        <v>25</v>
      </c>
    </row>
    <row r="23" spans="1:14" ht="21" customHeight="1" x14ac:dyDescent="0.3">
      <c r="A23" s="2" t="s">
        <v>114</v>
      </c>
      <c r="B23" s="3" t="s">
        <v>140</v>
      </c>
      <c r="C23" s="3" t="s">
        <v>145</v>
      </c>
      <c r="D23" s="4" t="s">
        <v>146</v>
      </c>
      <c r="E23" s="4" t="s">
        <v>147</v>
      </c>
      <c r="F23" s="4" t="s">
        <v>148</v>
      </c>
      <c r="G23" s="4" t="s">
        <v>149</v>
      </c>
      <c r="H23" s="3" t="s">
        <v>150</v>
      </c>
      <c r="I23" s="4" t="s">
        <v>151</v>
      </c>
      <c r="J23" s="4" t="s">
        <v>152</v>
      </c>
      <c r="K23" s="4">
        <v>3</v>
      </c>
      <c r="L23" s="4" t="s">
        <v>153</v>
      </c>
      <c r="M23" s="4" t="s">
        <v>26</v>
      </c>
      <c r="N23" s="4" t="s">
        <v>154</v>
      </c>
    </row>
    <row r="24" spans="1:14" ht="21" customHeight="1" x14ac:dyDescent="0.3">
      <c r="A24" s="5" t="s">
        <v>114</v>
      </c>
      <c r="B24" s="6" t="s">
        <v>140</v>
      </c>
      <c r="C24" s="6" t="s">
        <v>155</v>
      </c>
      <c r="D24" s="7" t="s">
        <v>156</v>
      </c>
      <c r="E24" s="7" t="s">
        <v>157</v>
      </c>
      <c r="F24" s="7" t="s">
        <v>32</v>
      </c>
      <c r="G24" s="7" t="s">
        <v>158</v>
      </c>
      <c r="H24" s="6" t="s">
        <v>159</v>
      </c>
      <c r="I24" s="7" t="s">
        <v>59</v>
      </c>
      <c r="J24" s="7" t="s">
        <v>59</v>
      </c>
      <c r="K24" s="7">
        <v>3</v>
      </c>
      <c r="L24" s="7" t="s">
        <v>25</v>
      </c>
      <c r="M24" s="7" t="s">
        <v>26</v>
      </c>
      <c r="N24" s="7" t="s">
        <v>25</v>
      </c>
    </row>
    <row r="25" spans="1:14" ht="21" customHeight="1" x14ac:dyDescent="0.3">
      <c r="A25" s="2" t="s">
        <v>160</v>
      </c>
      <c r="B25" s="3" t="s">
        <v>161</v>
      </c>
      <c r="C25" s="3" t="s">
        <v>162</v>
      </c>
      <c r="D25" s="4" t="s">
        <v>38</v>
      </c>
      <c r="E25" s="4" t="s">
        <v>71</v>
      </c>
      <c r="F25" s="4" t="s">
        <v>32</v>
      </c>
      <c r="G25" s="4" t="s">
        <v>72</v>
      </c>
      <c r="H25" s="3" t="s">
        <v>163</v>
      </c>
      <c r="I25" s="4" t="s">
        <v>59</v>
      </c>
      <c r="J25" s="4" t="s">
        <v>59</v>
      </c>
      <c r="K25" s="4">
        <v>3</v>
      </c>
      <c r="L25" s="4" t="s">
        <v>25</v>
      </c>
      <c r="M25" s="4" t="s">
        <v>26</v>
      </c>
      <c r="N25" s="4" t="s">
        <v>25</v>
      </c>
    </row>
    <row r="26" spans="1:14" ht="21" customHeight="1" x14ac:dyDescent="0.3">
      <c r="A26" s="5" t="s">
        <v>160</v>
      </c>
      <c r="B26" s="6" t="s">
        <v>161</v>
      </c>
      <c r="C26" s="6" t="s">
        <v>164</v>
      </c>
      <c r="D26" s="7" t="s">
        <v>38</v>
      </c>
      <c r="E26" s="7" t="s">
        <v>165</v>
      </c>
      <c r="F26" s="7" t="s">
        <v>32</v>
      </c>
      <c r="G26" s="7" t="s">
        <v>166</v>
      </c>
      <c r="H26" s="6" t="s">
        <v>167</v>
      </c>
      <c r="I26" s="7" t="s">
        <v>59</v>
      </c>
      <c r="J26" s="7" t="s">
        <v>59</v>
      </c>
      <c r="K26" s="7">
        <v>3</v>
      </c>
      <c r="L26" s="7" t="s">
        <v>25</v>
      </c>
      <c r="M26" s="7" t="s">
        <v>26</v>
      </c>
      <c r="N26" s="7" t="s">
        <v>25</v>
      </c>
    </row>
    <row r="27" spans="1:14" ht="21" customHeight="1" x14ac:dyDescent="0.3">
      <c r="A27" s="2" t="s">
        <v>160</v>
      </c>
      <c r="B27" s="3" t="s">
        <v>161</v>
      </c>
      <c r="C27" s="3" t="s">
        <v>168</v>
      </c>
      <c r="D27" s="4" t="s">
        <v>38</v>
      </c>
      <c r="E27" s="4" t="s">
        <v>52</v>
      </c>
      <c r="F27" s="4" t="s">
        <v>52</v>
      </c>
      <c r="G27" s="4" t="s">
        <v>169</v>
      </c>
      <c r="H27" s="3" t="s">
        <v>170</v>
      </c>
      <c r="I27" s="4" t="s">
        <v>59</v>
      </c>
      <c r="J27" s="4" t="s">
        <v>59</v>
      </c>
      <c r="K27" s="4">
        <v>3</v>
      </c>
      <c r="L27" s="4" t="s">
        <v>25</v>
      </c>
      <c r="M27" s="4" t="s">
        <v>26</v>
      </c>
      <c r="N27" s="4" t="s">
        <v>25</v>
      </c>
    </row>
    <row r="28" spans="1:14" ht="21" customHeight="1" x14ac:dyDescent="0.3">
      <c r="A28" s="5" t="s">
        <v>160</v>
      </c>
      <c r="B28" s="6" t="s">
        <v>161</v>
      </c>
      <c r="C28" s="6" t="s">
        <v>171</v>
      </c>
      <c r="D28" s="7" t="s">
        <v>172</v>
      </c>
      <c r="E28" s="7" t="s">
        <v>173</v>
      </c>
      <c r="F28" s="7" t="s">
        <v>174</v>
      </c>
      <c r="G28" s="7" t="s">
        <v>175</v>
      </c>
      <c r="H28" s="6" t="s">
        <v>176</v>
      </c>
      <c r="I28" s="7" t="s">
        <v>177</v>
      </c>
      <c r="J28" s="7" t="s">
        <v>178</v>
      </c>
      <c r="K28" s="7">
        <v>3</v>
      </c>
      <c r="L28" s="7" t="s">
        <v>179</v>
      </c>
      <c r="M28" s="7" t="s">
        <v>26</v>
      </c>
      <c r="N28" s="7" t="s">
        <v>180</v>
      </c>
    </row>
    <row r="29" spans="1:14" ht="21" customHeight="1" x14ac:dyDescent="0.3">
      <c r="A29" s="2" t="s">
        <v>160</v>
      </c>
      <c r="B29" s="3" t="s">
        <v>161</v>
      </c>
      <c r="C29" s="3" t="s">
        <v>252</v>
      </c>
      <c r="D29" s="4" t="s">
        <v>181</v>
      </c>
      <c r="E29" s="4" t="s">
        <v>182</v>
      </c>
      <c r="F29" s="4" t="s">
        <v>182</v>
      </c>
      <c r="G29" s="4" t="s">
        <v>183</v>
      </c>
      <c r="H29" s="3" t="s">
        <v>184</v>
      </c>
      <c r="I29" s="4" t="s">
        <v>59</v>
      </c>
      <c r="J29" s="4" t="s">
        <v>59</v>
      </c>
      <c r="K29" s="4">
        <v>3</v>
      </c>
      <c r="L29" s="4" t="s">
        <v>25</v>
      </c>
      <c r="M29" s="4" t="s">
        <v>26</v>
      </c>
      <c r="N29" s="4" t="s">
        <v>25</v>
      </c>
    </row>
    <row r="30" spans="1:14" ht="21" customHeight="1" x14ac:dyDescent="0.3">
      <c r="A30" s="5" t="s">
        <v>160</v>
      </c>
      <c r="B30" s="6" t="s">
        <v>161</v>
      </c>
      <c r="C30" s="6" t="s">
        <v>185</v>
      </c>
      <c r="D30" s="7" t="s">
        <v>38</v>
      </c>
      <c r="E30" s="7" t="s">
        <v>52</v>
      </c>
      <c r="F30" s="7" t="s">
        <v>52</v>
      </c>
      <c r="G30" s="7" t="s">
        <v>53</v>
      </c>
      <c r="H30" s="6" t="s">
        <v>186</v>
      </c>
      <c r="I30" s="7" t="s">
        <v>59</v>
      </c>
      <c r="J30" s="7" t="s">
        <v>59</v>
      </c>
      <c r="K30" s="7">
        <v>3</v>
      </c>
      <c r="L30" s="7" t="s">
        <v>25</v>
      </c>
      <c r="M30" s="7" t="s">
        <v>26</v>
      </c>
      <c r="N30" s="7" t="s">
        <v>25</v>
      </c>
    </row>
    <row r="31" spans="1:14" ht="21" customHeight="1" x14ac:dyDescent="0.3">
      <c r="A31" s="2" t="s">
        <v>160</v>
      </c>
      <c r="B31" s="3" t="s">
        <v>187</v>
      </c>
      <c r="C31" s="3" t="s">
        <v>188</v>
      </c>
      <c r="D31" s="4" t="s">
        <v>189</v>
      </c>
      <c r="E31" s="4" t="s">
        <v>190</v>
      </c>
      <c r="F31" s="4" t="s">
        <v>190</v>
      </c>
      <c r="G31" s="4" t="s">
        <v>191</v>
      </c>
      <c r="H31" s="3" t="s">
        <v>192</v>
      </c>
      <c r="I31" s="4" t="s">
        <v>59</v>
      </c>
      <c r="J31" s="4" t="s">
        <v>59</v>
      </c>
      <c r="K31" s="4">
        <v>3</v>
      </c>
      <c r="L31" s="4" t="s">
        <v>25</v>
      </c>
      <c r="M31" s="4" t="s">
        <v>26</v>
      </c>
      <c r="N31" s="4" t="s">
        <v>25</v>
      </c>
    </row>
    <row r="32" spans="1:14" ht="21" customHeight="1" x14ac:dyDescent="0.3">
      <c r="A32" s="5" t="s">
        <v>193</v>
      </c>
      <c r="B32" s="6" t="s">
        <v>194</v>
      </c>
      <c r="C32" s="6" t="s">
        <v>195</v>
      </c>
      <c r="D32" s="7" t="s">
        <v>38</v>
      </c>
      <c r="E32" s="7" t="s">
        <v>196</v>
      </c>
      <c r="F32" s="7" t="s">
        <v>32</v>
      </c>
      <c r="G32" s="7" t="s">
        <v>197</v>
      </c>
      <c r="H32" s="6" t="s">
        <v>198</v>
      </c>
      <c r="I32" s="7" t="s">
        <v>59</v>
      </c>
      <c r="J32" s="7" t="s">
        <v>59</v>
      </c>
      <c r="K32" s="7">
        <v>3</v>
      </c>
      <c r="L32" s="7" t="s">
        <v>25</v>
      </c>
      <c r="M32" s="7" t="s">
        <v>26</v>
      </c>
      <c r="N32" s="7" t="s">
        <v>25</v>
      </c>
    </row>
    <row r="33" spans="1:14" ht="21" customHeight="1" x14ac:dyDescent="0.3">
      <c r="A33" s="2" t="s">
        <v>193</v>
      </c>
      <c r="B33" s="3" t="s">
        <v>194</v>
      </c>
      <c r="C33" s="3" t="s">
        <v>199</v>
      </c>
      <c r="D33" s="4" t="s">
        <v>38</v>
      </c>
      <c r="E33" s="4" t="s">
        <v>196</v>
      </c>
      <c r="F33" s="4" t="s">
        <v>32</v>
      </c>
      <c r="G33" s="4" t="s">
        <v>197</v>
      </c>
      <c r="H33" s="3" t="s">
        <v>198</v>
      </c>
      <c r="I33" s="4" t="s">
        <v>59</v>
      </c>
      <c r="J33" s="4" t="s">
        <v>59</v>
      </c>
      <c r="K33" s="4">
        <v>3</v>
      </c>
      <c r="L33" s="4" t="s">
        <v>25</v>
      </c>
      <c r="M33" s="4" t="s">
        <v>26</v>
      </c>
      <c r="N33" s="4" t="s">
        <v>25</v>
      </c>
    </row>
    <row r="34" spans="1:14" ht="21" customHeight="1" x14ac:dyDescent="0.3">
      <c r="A34" s="5" t="s">
        <v>193</v>
      </c>
      <c r="B34" s="6" t="s">
        <v>194</v>
      </c>
      <c r="C34" s="6" t="s">
        <v>200</v>
      </c>
      <c r="D34" s="7" t="s">
        <v>38</v>
      </c>
      <c r="E34" s="7" t="s">
        <v>196</v>
      </c>
      <c r="F34" s="7" t="s">
        <v>32</v>
      </c>
      <c r="G34" s="7" t="s">
        <v>197</v>
      </c>
      <c r="H34" s="6" t="s">
        <v>201</v>
      </c>
      <c r="I34" s="7" t="s">
        <v>59</v>
      </c>
      <c r="J34" s="7" t="s">
        <v>59</v>
      </c>
      <c r="K34" s="7">
        <v>3</v>
      </c>
      <c r="L34" s="7" t="s">
        <v>25</v>
      </c>
      <c r="M34" s="7" t="s">
        <v>26</v>
      </c>
      <c r="N34" s="7" t="s">
        <v>25</v>
      </c>
    </row>
    <row r="35" spans="1:14" ht="21" customHeight="1" x14ac:dyDescent="0.3">
      <c r="A35" s="2" t="s">
        <v>193</v>
      </c>
      <c r="B35" s="3" t="s">
        <v>194</v>
      </c>
      <c r="C35" s="3" t="s">
        <v>202</v>
      </c>
      <c r="D35" s="4" t="s">
        <v>38</v>
      </c>
      <c r="E35" s="4" t="s">
        <v>203</v>
      </c>
      <c r="F35" s="4" t="s">
        <v>32</v>
      </c>
      <c r="G35" s="4" t="s">
        <v>204</v>
      </c>
      <c r="H35" s="3" t="s">
        <v>205</v>
      </c>
      <c r="I35" s="4" t="s">
        <v>59</v>
      </c>
      <c r="J35" s="4" t="s">
        <v>59</v>
      </c>
      <c r="K35" s="4">
        <v>3</v>
      </c>
      <c r="L35" s="4" t="s">
        <v>25</v>
      </c>
      <c r="M35" s="4" t="s">
        <v>26</v>
      </c>
      <c r="N35" s="4" t="s">
        <v>25</v>
      </c>
    </row>
    <row r="36" spans="1:14" ht="21" customHeight="1" x14ac:dyDescent="0.3">
      <c r="A36" s="5" t="s">
        <v>193</v>
      </c>
      <c r="B36" s="6" t="s">
        <v>194</v>
      </c>
      <c r="C36" s="6" t="s">
        <v>206</v>
      </c>
      <c r="D36" s="7" t="s">
        <v>207</v>
      </c>
      <c r="E36" s="7" t="s">
        <v>129</v>
      </c>
      <c r="F36" s="7" t="s">
        <v>130</v>
      </c>
      <c r="G36" s="7" t="s">
        <v>94</v>
      </c>
      <c r="H36" s="6" t="s">
        <v>208</v>
      </c>
      <c r="I36" s="7" t="s">
        <v>59</v>
      </c>
      <c r="J36" s="7" t="s">
        <v>59</v>
      </c>
      <c r="K36" s="7">
        <v>3</v>
      </c>
      <c r="L36" s="7" t="s">
        <v>25</v>
      </c>
      <c r="M36" s="7" t="s">
        <v>26</v>
      </c>
      <c r="N36" s="7" t="s">
        <v>25</v>
      </c>
    </row>
    <row r="37" spans="1:14" ht="21" customHeight="1" x14ac:dyDescent="0.3">
      <c r="A37" s="2" t="s">
        <v>193</v>
      </c>
      <c r="B37" s="3" t="s">
        <v>194</v>
      </c>
      <c r="C37" s="3" t="s">
        <v>209</v>
      </c>
      <c r="D37" s="4" t="s">
        <v>128</v>
      </c>
      <c r="E37" s="4" t="s">
        <v>210</v>
      </c>
      <c r="F37" s="4" t="s">
        <v>211</v>
      </c>
      <c r="G37" s="4" t="s">
        <v>94</v>
      </c>
      <c r="H37" s="3" t="s">
        <v>212</v>
      </c>
      <c r="I37" s="4" t="s">
        <v>59</v>
      </c>
      <c r="J37" s="4" t="s">
        <v>59</v>
      </c>
      <c r="K37" s="4">
        <v>3</v>
      </c>
      <c r="L37" s="4" t="s">
        <v>25</v>
      </c>
      <c r="M37" s="4" t="s">
        <v>26</v>
      </c>
      <c r="N37" s="4" t="s">
        <v>25</v>
      </c>
    </row>
    <row r="38" spans="1:14" ht="21" customHeight="1" x14ac:dyDescent="0.3">
      <c r="A38" s="5" t="s">
        <v>193</v>
      </c>
      <c r="B38" s="6" t="s">
        <v>194</v>
      </c>
      <c r="C38" s="6" t="s">
        <v>253</v>
      </c>
      <c r="D38" s="7" t="s">
        <v>189</v>
      </c>
      <c r="E38" s="7" t="s">
        <v>213</v>
      </c>
      <c r="F38" s="7" t="s">
        <v>214</v>
      </c>
      <c r="G38" s="7" t="s">
        <v>214</v>
      </c>
      <c r="H38" s="6" t="s">
        <v>215</v>
      </c>
      <c r="I38" s="7" t="s">
        <v>59</v>
      </c>
      <c r="J38" s="7" t="s">
        <v>59</v>
      </c>
      <c r="K38" s="7">
        <v>3</v>
      </c>
      <c r="L38" s="7" t="s">
        <v>25</v>
      </c>
      <c r="M38" s="7" t="s">
        <v>26</v>
      </c>
      <c r="N38" s="7" t="s">
        <v>25</v>
      </c>
    </row>
    <row r="39" spans="1:14" ht="21" customHeight="1" x14ac:dyDescent="0.3">
      <c r="A39" s="2" t="s">
        <v>193</v>
      </c>
      <c r="B39" s="3" t="s">
        <v>194</v>
      </c>
      <c r="C39" s="3" t="s">
        <v>216</v>
      </c>
      <c r="D39" s="4" t="s">
        <v>217</v>
      </c>
      <c r="E39" s="4" t="s">
        <v>218</v>
      </c>
      <c r="F39" s="4" t="s">
        <v>219</v>
      </c>
      <c r="G39" s="4" t="s">
        <v>137</v>
      </c>
      <c r="H39" s="3" t="s">
        <v>220</v>
      </c>
      <c r="I39" s="4" t="s">
        <v>59</v>
      </c>
      <c r="J39" s="4" t="s">
        <v>59</v>
      </c>
      <c r="K39" s="4">
        <v>3</v>
      </c>
      <c r="L39" s="4" t="s">
        <v>25</v>
      </c>
      <c r="M39" s="4" t="s">
        <v>26</v>
      </c>
      <c r="N39" s="4" t="s">
        <v>25</v>
      </c>
    </row>
    <row r="40" spans="1:14" ht="21" customHeight="1" x14ac:dyDescent="0.3">
      <c r="A40" s="5" t="s">
        <v>193</v>
      </c>
      <c r="B40" s="6" t="s">
        <v>194</v>
      </c>
      <c r="C40" s="6" t="s">
        <v>221</v>
      </c>
      <c r="D40" s="7" t="s">
        <v>38</v>
      </c>
      <c r="E40" s="7" t="s">
        <v>203</v>
      </c>
      <c r="F40" s="7" t="s">
        <v>32</v>
      </c>
      <c r="G40" s="7" t="s">
        <v>204</v>
      </c>
      <c r="H40" s="6" t="s">
        <v>205</v>
      </c>
      <c r="I40" s="7" t="s">
        <v>59</v>
      </c>
      <c r="J40" s="7" t="s">
        <v>59</v>
      </c>
      <c r="K40" s="7">
        <v>3</v>
      </c>
      <c r="L40" s="7" t="s">
        <v>25</v>
      </c>
      <c r="M40" s="7" t="s">
        <v>26</v>
      </c>
      <c r="N40" s="7" t="s">
        <v>25</v>
      </c>
    </row>
    <row r="41" spans="1:14" ht="21" customHeight="1" x14ac:dyDescent="0.3">
      <c r="A41" s="2" t="s">
        <v>193</v>
      </c>
      <c r="B41" s="3" t="s">
        <v>194</v>
      </c>
      <c r="C41" s="3" t="s">
        <v>222</v>
      </c>
      <c r="D41" s="4" t="s">
        <v>189</v>
      </c>
      <c r="E41" s="4" t="s">
        <v>223</v>
      </c>
      <c r="F41" s="4" t="s">
        <v>223</v>
      </c>
      <c r="G41" s="4" t="s">
        <v>223</v>
      </c>
      <c r="H41" s="3" t="s">
        <v>224</v>
      </c>
      <c r="I41" s="4" t="s">
        <v>59</v>
      </c>
      <c r="J41" s="4" t="s">
        <v>59</v>
      </c>
      <c r="K41" s="4">
        <v>3</v>
      </c>
      <c r="L41" s="4" t="s">
        <v>25</v>
      </c>
      <c r="M41" s="4" t="s">
        <v>26</v>
      </c>
      <c r="N41" s="4" t="s">
        <v>25</v>
      </c>
    </row>
    <row r="42" spans="1:14" ht="21" customHeight="1" x14ac:dyDescent="0.3">
      <c r="A42" s="5" t="s">
        <v>225</v>
      </c>
      <c r="B42" s="6" t="s">
        <v>226</v>
      </c>
      <c r="C42" s="6" t="s">
        <v>227</v>
      </c>
      <c r="D42" s="7" t="s">
        <v>38</v>
      </c>
      <c r="E42" s="7" t="s">
        <v>228</v>
      </c>
      <c r="F42" s="7" t="s">
        <v>32</v>
      </c>
      <c r="G42" s="7" t="s">
        <v>229</v>
      </c>
      <c r="H42" s="6" t="s">
        <v>230</v>
      </c>
      <c r="I42" s="7" t="s">
        <v>59</v>
      </c>
      <c r="J42" s="7" t="s">
        <v>59</v>
      </c>
      <c r="K42" s="7">
        <v>3</v>
      </c>
      <c r="L42" s="7" t="s">
        <v>25</v>
      </c>
      <c r="M42" s="7" t="s">
        <v>26</v>
      </c>
      <c r="N42" s="7" t="s">
        <v>25</v>
      </c>
    </row>
    <row r="43" spans="1:14" ht="21" customHeight="1" x14ac:dyDescent="0.3">
      <c r="A43" s="2" t="s">
        <v>225</v>
      </c>
      <c r="B43" s="3" t="s">
        <v>231</v>
      </c>
      <c r="C43" s="3" t="s">
        <v>232</v>
      </c>
      <c r="D43" s="4" t="s">
        <v>128</v>
      </c>
      <c r="E43" s="4" t="s">
        <v>233</v>
      </c>
      <c r="F43" s="4" t="s">
        <v>137</v>
      </c>
      <c r="G43" s="4" t="s">
        <v>94</v>
      </c>
      <c r="H43" s="3" t="s">
        <v>234</v>
      </c>
      <c r="I43" s="4" t="s">
        <v>59</v>
      </c>
      <c r="J43" s="4" t="s">
        <v>59</v>
      </c>
      <c r="K43" s="4">
        <v>3</v>
      </c>
      <c r="L43" s="4" t="s">
        <v>25</v>
      </c>
      <c r="M43" s="4" t="s">
        <v>26</v>
      </c>
      <c r="N43" s="4" t="s">
        <v>25</v>
      </c>
    </row>
    <row r="44" spans="1:14" ht="21" customHeight="1" x14ac:dyDescent="0.3">
      <c r="A44" s="5" t="s">
        <v>225</v>
      </c>
      <c r="B44" s="6" t="s">
        <v>235</v>
      </c>
      <c r="C44" s="6" t="s">
        <v>236</v>
      </c>
      <c r="D44" s="7" t="s">
        <v>237</v>
      </c>
      <c r="E44" s="7" t="s">
        <v>238</v>
      </c>
      <c r="F44" s="7" t="s">
        <v>239</v>
      </c>
      <c r="G44" s="7" t="s">
        <v>240</v>
      </c>
      <c r="H44" s="6" t="s">
        <v>241</v>
      </c>
      <c r="I44" s="7" t="s">
        <v>59</v>
      </c>
      <c r="J44" s="7" t="s">
        <v>59</v>
      </c>
      <c r="K44" s="7">
        <v>3</v>
      </c>
      <c r="L44" s="7" t="s">
        <v>25</v>
      </c>
      <c r="M44" s="7" t="s">
        <v>26</v>
      </c>
      <c r="N44" s="7" t="s">
        <v>25</v>
      </c>
    </row>
    <row r="45" spans="1:14" ht="21" customHeight="1" x14ac:dyDescent="0.3">
      <c r="A45" s="2" t="s">
        <v>225</v>
      </c>
      <c r="B45" s="3" t="s">
        <v>235</v>
      </c>
      <c r="C45" s="3" t="s">
        <v>242</v>
      </c>
      <c r="D45" s="4" t="s">
        <v>237</v>
      </c>
      <c r="E45" s="4" t="s">
        <v>142</v>
      </c>
      <c r="F45" s="4" t="s">
        <v>143</v>
      </c>
      <c r="G45" s="4" t="s">
        <v>243</v>
      </c>
      <c r="H45" s="3" t="s">
        <v>241</v>
      </c>
      <c r="I45" s="4" t="s">
        <v>59</v>
      </c>
      <c r="J45" s="4" t="s">
        <v>59</v>
      </c>
      <c r="K45" s="4">
        <v>3</v>
      </c>
      <c r="L45" s="4" t="s">
        <v>25</v>
      </c>
      <c r="M45" s="4" t="s">
        <v>26</v>
      </c>
      <c r="N45" s="4" t="s">
        <v>25</v>
      </c>
    </row>
    <row r="46" spans="1:14" ht="21" customHeight="1" x14ac:dyDescent="0.3">
      <c r="A46" s="5" t="s">
        <v>225</v>
      </c>
      <c r="B46" s="6" t="s">
        <v>231</v>
      </c>
      <c r="C46" s="6" t="s">
        <v>244</v>
      </c>
      <c r="D46" s="7" t="s">
        <v>189</v>
      </c>
      <c r="E46" s="7" t="s">
        <v>213</v>
      </c>
      <c r="F46" s="7" t="s">
        <v>214</v>
      </c>
      <c r="G46" s="7" t="s">
        <v>214</v>
      </c>
      <c r="H46" s="6" t="s">
        <v>245</v>
      </c>
      <c r="I46" s="7" t="s">
        <v>59</v>
      </c>
      <c r="J46" s="7" t="s">
        <v>59</v>
      </c>
      <c r="K46" s="7">
        <v>3</v>
      </c>
      <c r="L46" s="7" t="s">
        <v>25</v>
      </c>
      <c r="M46" s="7" t="s">
        <v>26</v>
      </c>
      <c r="N46" s="7" t="s">
        <v>25</v>
      </c>
    </row>
    <row r="47" spans="1:14" ht="21" customHeight="1" x14ac:dyDescent="0.3">
      <c r="A47" s="2" t="s">
        <v>225</v>
      </c>
      <c r="B47" s="3" t="s">
        <v>246</v>
      </c>
      <c r="C47" s="3" t="s">
        <v>247</v>
      </c>
      <c r="D47" s="4" t="s">
        <v>189</v>
      </c>
      <c r="E47" s="4" t="s">
        <v>248</v>
      </c>
      <c r="F47" s="4" t="s">
        <v>249</v>
      </c>
      <c r="G47" s="4" t="s">
        <v>249</v>
      </c>
      <c r="H47" s="3" t="s">
        <v>250</v>
      </c>
      <c r="I47" s="4" t="s">
        <v>59</v>
      </c>
      <c r="J47" s="4" t="s">
        <v>59</v>
      </c>
      <c r="K47" s="4">
        <v>3</v>
      </c>
      <c r="L47" s="4" t="s">
        <v>25</v>
      </c>
      <c r="M47" s="4" t="s">
        <v>26</v>
      </c>
      <c r="N47" s="4" t="s">
        <v>25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AD0C1-44E1-4DE8-9D44-C187DE64E59E}">
  <dimension ref="A1:U25"/>
  <sheetViews>
    <sheetView tabSelected="1" zoomScale="73" workbookViewId="0">
      <selection activeCell="F23" sqref="F23"/>
    </sheetView>
  </sheetViews>
  <sheetFormatPr defaultRowHeight="14.4" x14ac:dyDescent="0.3"/>
  <cols>
    <col min="1" max="1" width="18.21875" customWidth="1"/>
    <col min="2" max="2" width="25.44140625" customWidth="1"/>
    <col min="3" max="3" width="22.109375" bestFit="1" customWidth="1"/>
    <col min="4" max="4" width="8.6640625" customWidth="1"/>
    <col min="5" max="5" width="11.109375" customWidth="1"/>
    <col min="6" max="6" width="11.88671875" customWidth="1"/>
    <col min="7" max="7" width="11.33203125" customWidth="1"/>
    <col min="8" max="8" width="10.44140625" bestFit="1" customWidth="1"/>
    <col min="9" max="9" width="13.109375" customWidth="1"/>
    <col min="10" max="10" width="11.77734375" customWidth="1"/>
    <col min="11" max="11" width="14.33203125" customWidth="1"/>
    <col min="12" max="12" width="12.5546875" customWidth="1"/>
    <col min="13" max="13" width="9.33203125" customWidth="1"/>
    <col min="14" max="14" width="10.109375" customWidth="1"/>
    <col min="19" max="19" width="9" customWidth="1"/>
    <col min="21" max="21" width="19.6640625" customWidth="1"/>
  </cols>
  <sheetData>
    <row r="1" spans="1:8" ht="42.6" customHeight="1" x14ac:dyDescent="0.3">
      <c r="A1" s="32" t="s">
        <v>575</v>
      </c>
      <c r="B1" s="32"/>
      <c r="C1" s="32"/>
      <c r="D1" s="32"/>
    </row>
    <row r="2" spans="1:8" x14ac:dyDescent="0.3">
      <c r="A2" s="31" t="s">
        <v>259</v>
      </c>
      <c r="B2" s="31"/>
      <c r="C2" s="31"/>
      <c r="D2" s="31"/>
      <c r="E2" t="s">
        <v>571</v>
      </c>
    </row>
    <row r="3" spans="1:8" x14ac:dyDescent="0.3">
      <c r="A3" s="10" t="s">
        <v>572</v>
      </c>
      <c r="B3" s="10" t="s">
        <v>570</v>
      </c>
      <c r="C3" s="10" t="s">
        <v>573</v>
      </c>
      <c r="D3" s="10" t="s">
        <v>570</v>
      </c>
    </row>
    <row r="4" spans="1:8" x14ac:dyDescent="0.3">
      <c r="A4" s="11" t="s">
        <v>597</v>
      </c>
      <c r="B4" s="11"/>
      <c r="C4" s="11" t="s">
        <v>567</v>
      </c>
      <c r="D4" s="11"/>
      <c r="G4" t="s">
        <v>643</v>
      </c>
    </row>
    <row r="5" spans="1:8" x14ac:dyDescent="0.3">
      <c r="A5" s="11" t="s">
        <v>5</v>
      </c>
      <c r="B5" s="11"/>
      <c r="C5" s="11" t="s">
        <v>9</v>
      </c>
      <c r="D5" s="11"/>
      <c r="G5" t="s">
        <v>641</v>
      </c>
    </row>
    <row r="6" spans="1:8" x14ac:dyDescent="0.3">
      <c r="A6" s="11" t="s">
        <v>6</v>
      </c>
      <c r="B6" s="11" t="s">
        <v>589</v>
      </c>
      <c r="C6" s="11" t="s">
        <v>10</v>
      </c>
      <c r="D6" s="11"/>
      <c r="G6" t="s">
        <v>644</v>
      </c>
    </row>
    <row r="7" spans="1:8" x14ac:dyDescent="0.3">
      <c r="A7" s="11" t="s">
        <v>7</v>
      </c>
      <c r="B7" s="11"/>
      <c r="C7" s="11" t="s">
        <v>568</v>
      </c>
      <c r="D7" s="11"/>
    </row>
    <row r="8" spans="1:8" x14ac:dyDescent="0.3">
      <c r="A8" s="11"/>
      <c r="B8" s="11"/>
      <c r="C8" s="11" t="s">
        <v>12</v>
      </c>
      <c r="D8" s="11"/>
    </row>
    <row r="9" spans="1:8" x14ac:dyDescent="0.3">
      <c r="A9" s="11"/>
      <c r="B9" s="11"/>
      <c r="C9" s="11" t="s">
        <v>13</v>
      </c>
      <c r="D9" s="11"/>
    </row>
    <row r="10" spans="1:8" x14ac:dyDescent="0.3">
      <c r="A10" s="11"/>
      <c r="B10" s="11"/>
      <c r="C10" s="11" t="s">
        <v>14</v>
      </c>
      <c r="D10" s="11"/>
    </row>
    <row r="11" spans="1:8" x14ac:dyDescent="0.3">
      <c r="A11" s="11"/>
      <c r="B11" s="11"/>
      <c r="C11" s="11" t="s">
        <v>569</v>
      </c>
      <c r="D11" s="11"/>
    </row>
    <row r="12" spans="1:8" x14ac:dyDescent="0.3">
      <c r="H12" t="s">
        <v>645</v>
      </c>
    </row>
    <row r="13" spans="1:8" s="28" customFormat="1" ht="4.2" customHeight="1" x14ac:dyDescent="0.3"/>
    <row r="15" spans="1:8" x14ac:dyDescent="0.3">
      <c r="A15" s="12" t="s">
        <v>576</v>
      </c>
    </row>
    <row r="16" spans="1:8" x14ac:dyDescent="0.3">
      <c r="G16" t="s">
        <v>642</v>
      </c>
    </row>
    <row r="17" spans="1:21" x14ac:dyDescent="0.3">
      <c r="A17" s="33" t="s">
        <v>591</v>
      </c>
      <c r="B17" s="33"/>
      <c r="C17" s="33"/>
      <c r="D17" s="33"/>
    </row>
    <row r="18" spans="1:21" x14ac:dyDescent="0.3">
      <c r="A18" t="s">
        <v>574</v>
      </c>
      <c r="B18" t="s">
        <v>577</v>
      </c>
    </row>
    <row r="19" spans="1:21" s="22" customFormat="1" ht="43.2" x14ac:dyDescent="0.3">
      <c r="A19" s="23" t="s">
        <v>593</v>
      </c>
      <c r="B19" s="23" t="s">
        <v>595</v>
      </c>
      <c r="C19" s="21" t="s">
        <v>582</v>
      </c>
      <c r="D19" s="21" t="s">
        <v>4</v>
      </c>
      <c r="E19" s="21" t="s">
        <v>5</v>
      </c>
      <c r="F19" s="21" t="s">
        <v>6</v>
      </c>
      <c r="G19" s="21" t="s">
        <v>7</v>
      </c>
      <c r="H19" s="21" t="s">
        <v>8</v>
      </c>
      <c r="I19" s="21" t="s">
        <v>9</v>
      </c>
      <c r="J19" s="21" t="s">
        <v>10</v>
      </c>
      <c r="K19" s="21" t="s">
        <v>11</v>
      </c>
      <c r="L19" s="21" t="s">
        <v>12</v>
      </c>
      <c r="M19" s="21" t="s">
        <v>13</v>
      </c>
      <c r="N19" s="21" t="s">
        <v>14</v>
      </c>
      <c r="O19" s="29" t="s">
        <v>584</v>
      </c>
      <c r="P19" s="30"/>
      <c r="Q19" s="29" t="s">
        <v>585</v>
      </c>
      <c r="R19" s="30"/>
      <c r="S19" s="29" t="s">
        <v>586</v>
      </c>
      <c r="T19" s="30"/>
      <c r="U19" s="21" t="s">
        <v>587</v>
      </c>
    </row>
    <row r="20" spans="1:21" s="22" customFormat="1" ht="28.8" x14ac:dyDescent="0.3">
      <c r="A20" s="23"/>
      <c r="B20" s="2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 t="s">
        <v>570</v>
      </c>
      <c r="P20" s="21" t="s">
        <v>590</v>
      </c>
      <c r="Q20" s="21" t="s">
        <v>570</v>
      </c>
      <c r="R20" s="21" t="s">
        <v>590</v>
      </c>
      <c r="S20" s="21" t="s">
        <v>570</v>
      </c>
      <c r="T20" s="21" t="s">
        <v>590</v>
      </c>
      <c r="U20" s="21"/>
    </row>
    <row r="21" spans="1:21" s="22" customFormat="1" ht="72" x14ac:dyDescent="0.3">
      <c r="A21" s="23" t="s">
        <v>594</v>
      </c>
      <c r="B21" s="23" t="s">
        <v>596</v>
      </c>
      <c r="C21" s="23" t="s">
        <v>583</v>
      </c>
      <c r="D21" s="23" t="s">
        <v>588</v>
      </c>
      <c r="E21" s="23" t="s">
        <v>588</v>
      </c>
      <c r="F21" s="23" t="s">
        <v>588</v>
      </c>
      <c r="G21" s="23" t="s">
        <v>588</v>
      </c>
      <c r="H21" s="23" t="s">
        <v>588</v>
      </c>
      <c r="I21" s="23" t="s">
        <v>588</v>
      </c>
      <c r="J21" s="23" t="s">
        <v>588</v>
      </c>
      <c r="K21" s="23" t="s">
        <v>588</v>
      </c>
      <c r="L21" s="23" t="s">
        <v>588</v>
      </c>
      <c r="M21" s="23" t="s">
        <v>588</v>
      </c>
      <c r="N21" s="23" t="s">
        <v>588</v>
      </c>
      <c r="O21" s="23" t="s">
        <v>589</v>
      </c>
      <c r="P21" s="23" t="s">
        <v>592</v>
      </c>
      <c r="Q21" s="23" t="s">
        <v>589</v>
      </c>
      <c r="R21" s="23" t="s">
        <v>592</v>
      </c>
      <c r="S21" s="23" t="s">
        <v>589</v>
      </c>
      <c r="T21" s="23" t="s">
        <v>592</v>
      </c>
      <c r="U21" s="23" t="s">
        <v>589</v>
      </c>
    </row>
    <row r="22" spans="1:21" x14ac:dyDescent="0.3">
      <c r="A22" s="11"/>
      <c r="B22" s="11"/>
      <c r="C22" s="20" t="s">
        <v>578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x14ac:dyDescent="0.3">
      <c r="A23" s="11"/>
      <c r="B23" s="11"/>
      <c r="C23" s="20" t="s">
        <v>579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3">
      <c r="A24" s="11"/>
      <c r="B24" s="11"/>
      <c r="C24" s="20" t="s">
        <v>580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x14ac:dyDescent="0.3">
      <c r="A25" s="11"/>
      <c r="B25" s="11"/>
      <c r="C25" s="20" t="s">
        <v>581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</sheetData>
  <mergeCells count="6">
    <mergeCell ref="O19:P19"/>
    <mergeCell ref="Q19:R19"/>
    <mergeCell ref="S19:T19"/>
    <mergeCell ref="A2:D2"/>
    <mergeCell ref="A1:D1"/>
    <mergeCell ref="A17:D17"/>
  </mergeCells>
  <dataValidations count="1">
    <dataValidation type="list" allowBlank="1" showInputMessage="1" showErrorMessage="1" sqref="B5 B7" xr:uid="{164EE388-DD8A-4375-9350-6F93FF80455F}">
      <formula1>"0.5%,1%,2%,3%,4%,5%,10%"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E890D5B-962D-409A-8956-6C26A396A8C2}">
          <x14:formula1>
            <xm:f>MasterSampleParametersRmcheck!$D$3:$D$23</xm:f>
          </x14:formula1>
          <xm:sqref>B4</xm:sqref>
        </x14:dataValidation>
        <x14:dataValidation type="list" allowBlank="1" showInputMessage="1" showErrorMessage="1" xr:uid="{786BFDB4-CC20-4D38-8356-0207C83B804E}">
          <x14:formula1>
            <xm:f>MasterSampleParametersRmcheck!$H$3:$H$23</xm:f>
          </x14:formula1>
          <xm:sqref>D4</xm:sqref>
        </x14:dataValidation>
        <x14:dataValidation type="list" allowBlank="1" showInputMessage="1" showErrorMessage="1" xr:uid="{9A8FDD0C-22A0-4004-86F8-42FB4B203509}">
          <x14:formula1>
            <xm:f>MasterSampleParametersRmcheck!$I$3:$I$23</xm:f>
          </x14:formula1>
          <xm:sqref>D5</xm:sqref>
        </x14:dataValidation>
        <x14:dataValidation type="list" allowBlank="1" showInputMessage="1" showErrorMessage="1" xr:uid="{9E980FCF-AD30-49EC-9072-599F327EBD80}">
          <x14:formula1>
            <xm:f>MasterSampleParametersRmcheck!$J$3:$J$23</xm:f>
          </x14:formula1>
          <xm:sqref>D6</xm:sqref>
        </x14:dataValidation>
        <x14:dataValidation type="list" allowBlank="1" showInputMessage="1" showErrorMessage="1" xr:uid="{6EFFA02E-216A-451B-B921-11A15EFF0B75}">
          <x14:formula1>
            <xm:f>MasterSampleParametersRmcheck!$K$3:$K$23</xm:f>
          </x14:formula1>
          <xm:sqref>D7</xm:sqref>
        </x14:dataValidation>
        <x14:dataValidation type="list" allowBlank="1" showInputMessage="1" showErrorMessage="1" xr:uid="{51803157-1CDF-40C4-B1FD-0A6A45C7EBF3}">
          <x14:formula1>
            <xm:f>MasterSampleParametersRmcheck!$L$3:$L$23</xm:f>
          </x14:formula1>
          <xm:sqref>D8</xm:sqref>
        </x14:dataValidation>
        <x14:dataValidation type="list" allowBlank="1" showInputMessage="1" showErrorMessage="1" xr:uid="{CA8E9C7A-813D-4DFD-9CE8-75DC6D3172A4}">
          <x14:formula1>
            <xm:f>MasterSampleParametersRmcheck!$M$3:$M$23</xm:f>
          </x14:formula1>
          <xm:sqref>D9</xm:sqref>
        </x14:dataValidation>
        <x14:dataValidation type="list" allowBlank="1" showInputMessage="1" showErrorMessage="1" xr:uid="{10208108-60B2-4D7D-B74A-AC710580F3EF}">
          <x14:formula1>
            <xm:f>MasterSampleParametersRmcheck!$N$3:$N$23</xm:f>
          </x14:formula1>
          <xm:sqref>D10</xm:sqref>
        </x14:dataValidation>
        <x14:dataValidation type="list" allowBlank="1" showInputMessage="1" showErrorMessage="1" xr:uid="{CFE5936E-0A7B-4C74-B73C-CE2DA165B7EC}">
          <x14:formula1>
            <xm:f>'Catalogs error'!$C$3:$C$22</xm:f>
          </x14:formula1>
          <xm:sqref>D11:D13</xm:sqref>
        </x14:dataValidation>
        <x14:dataValidation type="list" allowBlank="1" showInputMessage="1" showErrorMessage="1" xr:uid="{47DDB9D4-A32F-475A-B0CB-3867E5B983FE}">
          <x14:formula1>
            <xm:f>MasterSampleParametersRmcheck!$C$3:$C$23</xm:f>
          </x14:formula1>
          <xm:sqref>A2:D2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B42B-DE0C-408A-8E35-3F137F69AE0A}">
  <dimension ref="A1:N23"/>
  <sheetViews>
    <sheetView workbookViewId="0">
      <selection activeCell="B20" sqref="B20"/>
    </sheetView>
  </sheetViews>
  <sheetFormatPr defaultRowHeight="14.4" x14ac:dyDescent="0.3"/>
  <cols>
    <col min="1" max="1" width="25" customWidth="1"/>
    <col min="2" max="2" width="26" customWidth="1"/>
    <col min="3" max="3" width="38" customWidth="1"/>
    <col min="4" max="7" width="16" customWidth="1"/>
    <col min="8" max="8" width="42" customWidth="1"/>
    <col min="9" max="11" width="24" customWidth="1"/>
    <col min="12" max="12" width="28" customWidth="1"/>
    <col min="13" max="13" width="20" customWidth="1"/>
    <col min="14" max="14" width="26" customWidth="1"/>
  </cols>
  <sheetData>
    <row r="1" spans="1:14" ht="17.399999999999999" x14ac:dyDescent="0.3">
      <c r="A1" s="36" t="s">
        <v>254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x14ac:dyDescent="0.3">
      <c r="A2" s="1" t="s">
        <v>255</v>
      </c>
      <c r="B2" s="1" t="s">
        <v>256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1" customHeight="1" x14ac:dyDescent="0.3">
      <c r="A3" s="2" t="s">
        <v>257</v>
      </c>
      <c r="B3" s="3" t="s">
        <v>258</v>
      </c>
      <c r="C3" s="3" t="s">
        <v>259</v>
      </c>
      <c r="D3" s="4" t="s">
        <v>260</v>
      </c>
      <c r="E3" s="4" t="s">
        <v>261</v>
      </c>
      <c r="F3" s="4" t="s">
        <v>32</v>
      </c>
      <c r="G3" s="4" t="s">
        <v>262</v>
      </c>
      <c r="H3" s="3" t="s">
        <v>263</v>
      </c>
      <c r="I3" s="4" t="s">
        <v>264</v>
      </c>
      <c r="J3" s="4" t="s">
        <v>265</v>
      </c>
      <c r="K3" s="4">
        <v>5</v>
      </c>
      <c r="L3" s="4" t="s">
        <v>35</v>
      </c>
      <c r="M3" s="4" t="s">
        <v>266</v>
      </c>
      <c r="N3" s="4" t="s">
        <v>267</v>
      </c>
    </row>
    <row r="4" spans="1:14" ht="21" customHeight="1" x14ac:dyDescent="0.3">
      <c r="A4" s="5" t="s">
        <v>257</v>
      </c>
      <c r="B4" s="6" t="s">
        <v>258</v>
      </c>
      <c r="C4" s="6" t="s">
        <v>268</v>
      </c>
      <c r="D4" s="7" t="s">
        <v>117</v>
      </c>
      <c r="E4" s="7" t="s">
        <v>269</v>
      </c>
      <c r="F4" s="7" t="s">
        <v>32</v>
      </c>
      <c r="G4" s="7" t="s">
        <v>270</v>
      </c>
      <c r="H4" s="6" t="s">
        <v>271</v>
      </c>
      <c r="I4" s="7" t="s">
        <v>264</v>
      </c>
      <c r="J4" s="7" t="s">
        <v>272</v>
      </c>
      <c r="K4" s="7">
        <v>3</v>
      </c>
      <c r="L4" s="7" t="s">
        <v>273</v>
      </c>
      <c r="M4" s="7" t="s">
        <v>274</v>
      </c>
      <c r="N4" s="7" t="s">
        <v>267</v>
      </c>
    </row>
    <row r="5" spans="1:14" ht="21" customHeight="1" x14ac:dyDescent="0.3">
      <c r="A5" s="2" t="s">
        <v>257</v>
      </c>
      <c r="B5" s="3" t="s">
        <v>258</v>
      </c>
      <c r="C5" s="3" t="s">
        <v>275</v>
      </c>
      <c r="D5" s="4" t="s">
        <v>18</v>
      </c>
      <c r="E5" s="4" t="s">
        <v>19</v>
      </c>
      <c r="F5" s="4" t="s">
        <v>124</v>
      </c>
      <c r="G5" s="4" t="s">
        <v>125</v>
      </c>
      <c r="H5" s="3" t="s">
        <v>276</v>
      </c>
      <c r="I5" s="4" t="s">
        <v>264</v>
      </c>
      <c r="J5" s="4" t="s">
        <v>277</v>
      </c>
      <c r="K5" s="4">
        <v>3</v>
      </c>
      <c r="L5" s="4" t="s">
        <v>278</v>
      </c>
      <c r="M5" s="4" t="s">
        <v>279</v>
      </c>
      <c r="N5" s="4" t="s">
        <v>267</v>
      </c>
    </row>
    <row r="6" spans="1:14" ht="21" customHeight="1" x14ac:dyDescent="0.3">
      <c r="A6" s="5" t="s">
        <v>257</v>
      </c>
      <c r="B6" s="6" t="s">
        <v>280</v>
      </c>
      <c r="C6" s="6" t="s">
        <v>281</v>
      </c>
      <c r="D6" s="7" t="s">
        <v>282</v>
      </c>
      <c r="E6" s="7" t="s">
        <v>283</v>
      </c>
      <c r="F6" s="7" t="s">
        <v>284</v>
      </c>
      <c r="G6" s="7" t="s">
        <v>285</v>
      </c>
      <c r="H6" s="6" t="s">
        <v>286</v>
      </c>
      <c r="I6" s="7" t="s">
        <v>264</v>
      </c>
      <c r="J6" s="7" t="s">
        <v>272</v>
      </c>
      <c r="K6" s="7">
        <v>3</v>
      </c>
      <c r="L6" s="7" t="s">
        <v>287</v>
      </c>
      <c r="M6" s="7" t="s">
        <v>274</v>
      </c>
      <c r="N6" s="7" t="s">
        <v>267</v>
      </c>
    </row>
    <row r="7" spans="1:14" ht="21" customHeight="1" x14ac:dyDescent="0.3">
      <c r="A7" s="2" t="s">
        <v>257</v>
      </c>
      <c r="B7" s="3" t="s">
        <v>288</v>
      </c>
      <c r="C7" s="3" t="s">
        <v>289</v>
      </c>
      <c r="D7" s="4" t="s">
        <v>290</v>
      </c>
      <c r="E7" s="4" t="s">
        <v>291</v>
      </c>
      <c r="F7" s="4" t="s">
        <v>32</v>
      </c>
      <c r="G7" s="4" t="s">
        <v>292</v>
      </c>
      <c r="H7" s="3" t="s">
        <v>139</v>
      </c>
      <c r="I7" s="4" t="s">
        <v>264</v>
      </c>
      <c r="J7" s="4" t="s">
        <v>293</v>
      </c>
      <c r="K7" s="4">
        <v>3</v>
      </c>
      <c r="L7" s="4" t="s">
        <v>294</v>
      </c>
      <c r="M7" s="4" t="s">
        <v>295</v>
      </c>
      <c r="N7" s="4" t="s">
        <v>296</v>
      </c>
    </row>
    <row r="8" spans="1:14" ht="21" customHeight="1" x14ac:dyDescent="0.3">
      <c r="A8" s="5" t="s">
        <v>257</v>
      </c>
      <c r="B8" s="6" t="s">
        <v>288</v>
      </c>
      <c r="C8" s="6" t="s">
        <v>297</v>
      </c>
      <c r="D8" s="7" t="s">
        <v>30</v>
      </c>
      <c r="E8" s="7" t="s">
        <v>298</v>
      </c>
      <c r="F8" s="7" t="s">
        <v>299</v>
      </c>
      <c r="G8" s="7" t="s">
        <v>300</v>
      </c>
      <c r="H8" s="6" t="s">
        <v>301</v>
      </c>
      <c r="I8" s="7" t="s">
        <v>264</v>
      </c>
      <c r="J8" s="7" t="s">
        <v>293</v>
      </c>
      <c r="K8" s="7">
        <v>3</v>
      </c>
      <c r="L8" s="7" t="s">
        <v>302</v>
      </c>
      <c r="M8" s="7" t="s">
        <v>295</v>
      </c>
      <c r="N8" s="7" t="s">
        <v>267</v>
      </c>
    </row>
    <row r="9" spans="1:14" ht="21" customHeight="1" x14ac:dyDescent="0.3">
      <c r="A9" s="5" t="s">
        <v>303</v>
      </c>
      <c r="B9" s="6" t="s">
        <v>416</v>
      </c>
      <c r="C9" s="6" t="s">
        <v>304</v>
      </c>
      <c r="D9" s="7" t="s">
        <v>42</v>
      </c>
      <c r="E9" s="7" t="s">
        <v>305</v>
      </c>
      <c r="F9" s="7" t="s">
        <v>306</v>
      </c>
      <c r="G9" s="7" t="s">
        <v>307</v>
      </c>
      <c r="H9" s="6" t="s">
        <v>308</v>
      </c>
      <c r="I9" s="7" t="s">
        <v>309</v>
      </c>
      <c r="J9" s="7" t="s">
        <v>310</v>
      </c>
      <c r="K9" s="7">
        <v>3</v>
      </c>
      <c r="L9" s="7" t="s">
        <v>311</v>
      </c>
      <c r="M9" s="7" t="s">
        <v>266</v>
      </c>
      <c r="N9" s="7" t="s">
        <v>312</v>
      </c>
    </row>
    <row r="10" spans="1:14" ht="21" customHeight="1" x14ac:dyDescent="0.3">
      <c r="A10" s="2" t="s">
        <v>303</v>
      </c>
      <c r="B10" s="6" t="s">
        <v>416</v>
      </c>
      <c r="C10" s="3" t="s">
        <v>313</v>
      </c>
      <c r="D10" s="4" t="s">
        <v>314</v>
      </c>
      <c r="E10" s="4" t="s">
        <v>315</v>
      </c>
      <c r="F10" s="4" t="s">
        <v>316</v>
      </c>
      <c r="G10" s="4" t="s">
        <v>317</v>
      </c>
      <c r="H10" s="3" t="s">
        <v>318</v>
      </c>
      <c r="I10" s="4" t="s">
        <v>309</v>
      </c>
      <c r="J10" s="4" t="s">
        <v>319</v>
      </c>
      <c r="K10" s="4">
        <v>2</v>
      </c>
      <c r="L10" s="4" t="s">
        <v>320</v>
      </c>
      <c r="M10" s="4" t="s">
        <v>274</v>
      </c>
      <c r="N10" s="4" t="s">
        <v>321</v>
      </c>
    </row>
    <row r="11" spans="1:14" ht="21" customHeight="1" x14ac:dyDescent="0.3">
      <c r="A11" s="5" t="s">
        <v>303</v>
      </c>
      <c r="B11" s="6" t="s">
        <v>416</v>
      </c>
      <c r="C11" s="6" t="s">
        <v>322</v>
      </c>
      <c r="D11" s="7" t="s">
        <v>30</v>
      </c>
      <c r="E11" s="7" t="s">
        <v>323</v>
      </c>
      <c r="F11" s="7" t="s">
        <v>324</v>
      </c>
      <c r="G11" s="7" t="s">
        <v>325</v>
      </c>
      <c r="H11" s="6" t="s">
        <v>326</v>
      </c>
      <c r="I11" s="7" t="s">
        <v>309</v>
      </c>
      <c r="J11" s="7" t="s">
        <v>319</v>
      </c>
      <c r="K11" s="7">
        <v>2</v>
      </c>
      <c r="L11" s="7" t="s">
        <v>327</v>
      </c>
      <c r="M11" s="7" t="s">
        <v>295</v>
      </c>
      <c r="N11" s="7" t="s">
        <v>328</v>
      </c>
    </row>
    <row r="12" spans="1:14" ht="21" customHeight="1" x14ac:dyDescent="0.3">
      <c r="A12" s="2" t="s">
        <v>303</v>
      </c>
      <c r="B12" s="6" t="s">
        <v>416</v>
      </c>
      <c r="C12" s="3" t="s">
        <v>329</v>
      </c>
      <c r="D12" s="4" t="s">
        <v>51</v>
      </c>
      <c r="E12" s="4" t="s">
        <v>52</v>
      </c>
      <c r="F12" s="4" t="s">
        <v>52</v>
      </c>
      <c r="G12" s="4" t="s">
        <v>142</v>
      </c>
      <c r="H12" s="3" t="s">
        <v>330</v>
      </c>
      <c r="I12" s="4" t="s">
        <v>309</v>
      </c>
      <c r="J12" s="4" t="s">
        <v>331</v>
      </c>
      <c r="K12" s="4">
        <v>3</v>
      </c>
      <c r="L12" s="4" t="s">
        <v>332</v>
      </c>
      <c r="M12" s="4" t="s">
        <v>333</v>
      </c>
      <c r="N12" s="4" t="s">
        <v>334</v>
      </c>
    </row>
    <row r="13" spans="1:14" ht="21" customHeight="1" x14ac:dyDescent="0.3">
      <c r="A13" s="5" t="s">
        <v>303</v>
      </c>
      <c r="B13" s="6" t="s">
        <v>335</v>
      </c>
      <c r="C13" s="6" t="s">
        <v>336</v>
      </c>
      <c r="D13" s="7" t="s">
        <v>337</v>
      </c>
      <c r="E13" s="7" t="s">
        <v>338</v>
      </c>
      <c r="F13" s="7" t="s">
        <v>339</v>
      </c>
      <c r="G13" s="7" t="s">
        <v>88</v>
      </c>
      <c r="H13" s="6" t="s">
        <v>340</v>
      </c>
      <c r="I13" s="7" t="s">
        <v>341</v>
      </c>
      <c r="J13" s="7" t="s">
        <v>342</v>
      </c>
      <c r="K13" s="7">
        <v>2</v>
      </c>
      <c r="L13" s="7" t="s">
        <v>343</v>
      </c>
      <c r="M13" s="7" t="s">
        <v>266</v>
      </c>
      <c r="N13" s="7" t="s">
        <v>344</v>
      </c>
    </row>
    <row r="14" spans="1:14" ht="21" customHeight="1" x14ac:dyDescent="0.3">
      <c r="A14" s="2" t="s">
        <v>303</v>
      </c>
      <c r="B14" s="3" t="s">
        <v>335</v>
      </c>
      <c r="C14" s="3" t="s">
        <v>345</v>
      </c>
      <c r="D14" s="4" t="s">
        <v>30</v>
      </c>
      <c r="E14" s="4" t="s">
        <v>298</v>
      </c>
      <c r="F14" s="4" t="s">
        <v>346</v>
      </c>
      <c r="G14" s="4" t="s">
        <v>347</v>
      </c>
      <c r="H14" s="3" t="s">
        <v>348</v>
      </c>
      <c r="I14" s="4" t="s">
        <v>341</v>
      </c>
      <c r="J14" s="4" t="s">
        <v>349</v>
      </c>
      <c r="K14" s="4">
        <v>2</v>
      </c>
      <c r="L14" s="4" t="s">
        <v>350</v>
      </c>
      <c r="M14" s="4" t="s">
        <v>266</v>
      </c>
      <c r="N14" s="4" t="s">
        <v>344</v>
      </c>
    </row>
    <row r="15" spans="1:14" ht="21" customHeight="1" x14ac:dyDescent="0.3">
      <c r="A15" s="5" t="s">
        <v>351</v>
      </c>
      <c r="B15" s="6" t="s">
        <v>417</v>
      </c>
      <c r="C15" s="6" t="s">
        <v>352</v>
      </c>
      <c r="D15" s="7" t="s">
        <v>353</v>
      </c>
      <c r="E15" s="7" t="s">
        <v>354</v>
      </c>
      <c r="F15" s="7" t="s">
        <v>355</v>
      </c>
      <c r="G15" s="7" t="s">
        <v>356</v>
      </c>
      <c r="H15" s="6" t="s">
        <v>357</v>
      </c>
      <c r="I15" s="7" t="s">
        <v>358</v>
      </c>
      <c r="J15" s="7" t="s">
        <v>359</v>
      </c>
      <c r="K15" s="7">
        <v>3</v>
      </c>
      <c r="L15" s="7" t="s">
        <v>360</v>
      </c>
      <c r="M15" s="7" t="s">
        <v>266</v>
      </c>
      <c r="N15" s="7" t="s">
        <v>321</v>
      </c>
    </row>
    <row r="16" spans="1:14" ht="21" customHeight="1" x14ac:dyDescent="0.3">
      <c r="A16" s="2" t="s">
        <v>351</v>
      </c>
      <c r="B16" s="6" t="s">
        <v>417</v>
      </c>
      <c r="C16" s="3" t="s">
        <v>361</v>
      </c>
      <c r="D16" s="4" t="s">
        <v>30</v>
      </c>
      <c r="E16" s="4" t="s">
        <v>362</v>
      </c>
      <c r="F16" s="4" t="s">
        <v>88</v>
      </c>
      <c r="G16" s="4" t="s">
        <v>88</v>
      </c>
      <c r="H16" s="3" t="s">
        <v>363</v>
      </c>
      <c r="I16" s="4" t="s">
        <v>358</v>
      </c>
      <c r="J16" s="4" t="s">
        <v>359</v>
      </c>
      <c r="K16" s="4">
        <v>2</v>
      </c>
      <c r="L16" s="4" t="s">
        <v>364</v>
      </c>
      <c r="M16" s="4" t="s">
        <v>274</v>
      </c>
      <c r="N16" s="4" t="s">
        <v>365</v>
      </c>
    </row>
    <row r="17" spans="1:14" ht="21" customHeight="1" x14ac:dyDescent="0.3">
      <c r="A17" s="5" t="s">
        <v>366</v>
      </c>
      <c r="B17" s="6" t="s">
        <v>367</v>
      </c>
      <c r="C17" s="6" t="s">
        <v>368</v>
      </c>
      <c r="D17" s="7" t="s">
        <v>38</v>
      </c>
      <c r="E17" s="7" t="s">
        <v>369</v>
      </c>
      <c r="F17" s="7" t="s">
        <v>32</v>
      </c>
      <c r="G17" s="7" t="s">
        <v>370</v>
      </c>
      <c r="H17" s="6" t="s">
        <v>371</v>
      </c>
      <c r="I17" s="7" t="s">
        <v>372</v>
      </c>
      <c r="J17" s="7" t="s">
        <v>373</v>
      </c>
      <c r="K17" s="7">
        <v>5</v>
      </c>
      <c r="L17" s="7" t="s">
        <v>374</v>
      </c>
      <c r="M17" s="7" t="s">
        <v>266</v>
      </c>
      <c r="N17" s="7" t="s">
        <v>375</v>
      </c>
    </row>
    <row r="18" spans="1:14" ht="21" customHeight="1" x14ac:dyDescent="0.3">
      <c r="A18" s="2" t="s">
        <v>366</v>
      </c>
      <c r="B18" s="3" t="s">
        <v>367</v>
      </c>
      <c r="C18" s="3" t="s">
        <v>376</v>
      </c>
      <c r="D18" s="4" t="s">
        <v>237</v>
      </c>
      <c r="E18" s="4" t="s">
        <v>238</v>
      </c>
      <c r="F18" s="4" t="s">
        <v>239</v>
      </c>
      <c r="G18" s="4" t="s">
        <v>240</v>
      </c>
      <c r="H18" s="3" t="s">
        <v>377</v>
      </c>
      <c r="I18" s="4" t="s">
        <v>372</v>
      </c>
      <c r="J18" s="4" t="s">
        <v>378</v>
      </c>
      <c r="K18" s="4">
        <v>3</v>
      </c>
      <c r="L18" s="4" t="s">
        <v>379</v>
      </c>
      <c r="M18" s="4" t="s">
        <v>266</v>
      </c>
      <c r="N18" s="4" t="s">
        <v>321</v>
      </c>
    </row>
    <row r="19" spans="1:14" ht="21" customHeight="1" x14ac:dyDescent="0.3">
      <c r="A19" s="5" t="s">
        <v>366</v>
      </c>
      <c r="B19" s="6" t="s">
        <v>380</v>
      </c>
      <c r="C19" s="6" t="s">
        <v>381</v>
      </c>
      <c r="D19" s="7" t="s">
        <v>38</v>
      </c>
      <c r="E19" s="7" t="s">
        <v>382</v>
      </c>
      <c r="F19" s="7" t="s">
        <v>32</v>
      </c>
      <c r="G19" s="7" t="s">
        <v>383</v>
      </c>
      <c r="H19" s="6" t="s">
        <v>384</v>
      </c>
      <c r="I19" s="7" t="s">
        <v>385</v>
      </c>
      <c r="J19" s="7" t="s">
        <v>386</v>
      </c>
      <c r="K19" s="7">
        <v>3</v>
      </c>
      <c r="L19" s="7" t="s">
        <v>387</v>
      </c>
      <c r="M19" s="7" t="s">
        <v>274</v>
      </c>
      <c r="N19" s="7" t="s">
        <v>388</v>
      </c>
    </row>
    <row r="20" spans="1:14" ht="21" customHeight="1" x14ac:dyDescent="0.3">
      <c r="A20" s="2" t="s">
        <v>366</v>
      </c>
      <c r="B20" s="3" t="s">
        <v>380</v>
      </c>
      <c r="C20" s="3" t="s">
        <v>389</v>
      </c>
      <c r="D20" s="4" t="s">
        <v>390</v>
      </c>
      <c r="E20" s="4" t="s">
        <v>240</v>
      </c>
      <c r="F20" s="4" t="s">
        <v>219</v>
      </c>
      <c r="G20" s="4" t="s">
        <v>137</v>
      </c>
      <c r="H20" s="3" t="s">
        <v>391</v>
      </c>
      <c r="I20" s="4" t="s">
        <v>385</v>
      </c>
      <c r="J20" s="4" t="s">
        <v>386</v>
      </c>
      <c r="K20" s="4">
        <v>3</v>
      </c>
      <c r="L20" s="4" t="s">
        <v>392</v>
      </c>
      <c r="M20" s="4" t="s">
        <v>274</v>
      </c>
      <c r="N20" s="4" t="s">
        <v>388</v>
      </c>
    </row>
    <row r="21" spans="1:14" ht="21" customHeight="1" x14ac:dyDescent="0.3">
      <c r="A21" s="5" t="s">
        <v>366</v>
      </c>
      <c r="B21" s="6" t="s">
        <v>393</v>
      </c>
      <c r="C21" s="6" t="s">
        <v>394</v>
      </c>
      <c r="D21" s="7" t="s">
        <v>38</v>
      </c>
      <c r="E21" s="7" t="s">
        <v>173</v>
      </c>
      <c r="F21" s="7" t="s">
        <v>174</v>
      </c>
      <c r="G21" s="7" t="s">
        <v>175</v>
      </c>
      <c r="H21" s="6" t="s">
        <v>395</v>
      </c>
      <c r="I21" s="7" t="s">
        <v>396</v>
      </c>
      <c r="J21" s="7" t="s">
        <v>397</v>
      </c>
      <c r="K21" s="7">
        <v>3</v>
      </c>
      <c r="L21" s="7" t="s">
        <v>398</v>
      </c>
      <c r="M21" s="7" t="s">
        <v>266</v>
      </c>
      <c r="N21" s="7" t="s">
        <v>399</v>
      </c>
    </row>
    <row r="22" spans="1:14" ht="21" customHeight="1" x14ac:dyDescent="0.3">
      <c r="A22" s="2" t="s">
        <v>366</v>
      </c>
      <c r="B22" s="3" t="s">
        <v>393</v>
      </c>
      <c r="C22" s="3" t="s">
        <v>400</v>
      </c>
      <c r="D22" s="4" t="s">
        <v>401</v>
      </c>
      <c r="E22" s="4" t="s">
        <v>402</v>
      </c>
      <c r="F22" s="4" t="s">
        <v>403</v>
      </c>
      <c r="G22" s="4" t="s">
        <v>404</v>
      </c>
      <c r="H22" s="3" t="s">
        <v>405</v>
      </c>
      <c r="I22" s="4" t="s">
        <v>396</v>
      </c>
      <c r="J22" s="4" t="s">
        <v>406</v>
      </c>
      <c r="K22" s="4">
        <v>2</v>
      </c>
      <c r="L22" s="4" t="s">
        <v>407</v>
      </c>
      <c r="M22" s="4" t="s">
        <v>274</v>
      </c>
      <c r="N22" s="4" t="s">
        <v>399</v>
      </c>
    </row>
    <row r="23" spans="1:14" ht="21" customHeight="1" x14ac:dyDescent="0.3">
      <c r="A23" s="5" t="s">
        <v>366</v>
      </c>
      <c r="B23" s="6" t="s">
        <v>408</v>
      </c>
      <c r="C23" s="6" t="s">
        <v>409</v>
      </c>
      <c r="D23" s="7" t="s">
        <v>38</v>
      </c>
      <c r="E23" s="7" t="s">
        <v>410</v>
      </c>
      <c r="F23" s="7" t="s">
        <v>39</v>
      </c>
      <c r="G23" s="7" t="s">
        <v>411</v>
      </c>
      <c r="H23" s="6" t="s">
        <v>34</v>
      </c>
      <c r="I23" s="7" t="s">
        <v>412</v>
      </c>
      <c r="J23" s="7" t="s">
        <v>413</v>
      </c>
      <c r="K23" s="7">
        <v>4</v>
      </c>
      <c r="L23" s="7" t="s">
        <v>414</v>
      </c>
      <c r="M23" s="7" t="s">
        <v>279</v>
      </c>
      <c r="N23" s="7" t="s">
        <v>415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91B1-8011-44BE-951C-FF4B34D348BC}">
  <dimension ref="A1:C22"/>
  <sheetViews>
    <sheetView workbookViewId="0">
      <selection activeCell="C3" sqref="C3"/>
    </sheetView>
  </sheetViews>
  <sheetFormatPr defaultRowHeight="14.4" x14ac:dyDescent="0.3"/>
  <cols>
    <col min="1" max="1" width="9" customWidth="1"/>
    <col min="2" max="2" width="46.44140625" style="17" bestFit="1" customWidth="1"/>
    <col min="3" max="3" width="48.109375" bestFit="1" customWidth="1"/>
  </cols>
  <sheetData>
    <row r="1" spans="1:3" ht="15" thickBot="1" x14ac:dyDescent="0.35"/>
    <row r="2" spans="1:3" ht="15" thickBot="1" x14ac:dyDescent="0.35">
      <c r="A2" s="24" t="s">
        <v>598</v>
      </c>
      <c r="B2" s="27" t="s">
        <v>599</v>
      </c>
      <c r="C2" s="19" t="s">
        <v>640</v>
      </c>
    </row>
    <row r="3" spans="1:3" ht="15" thickBot="1" x14ac:dyDescent="0.35">
      <c r="A3" s="25" t="s">
        <v>600</v>
      </c>
      <c r="B3" s="26" t="s">
        <v>601</v>
      </c>
      <c r="C3" t="str">
        <f>+A3&amp;"-"&amp;B3</f>
        <v>RM001-Thickness variation (Micron deviation out of spec)</v>
      </c>
    </row>
    <row r="4" spans="1:3" ht="15" thickBot="1" x14ac:dyDescent="0.35">
      <c r="A4" s="25" t="s">
        <v>602</v>
      </c>
      <c r="B4" s="26" t="s">
        <v>603</v>
      </c>
      <c r="C4" t="str">
        <f t="shared" ref="C4:C22" si="0">+A4&amp;"-"&amp;B4</f>
        <v>RM002-Roll width variation</v>
      </c>
    </row>
    <row r="5" spans="1:3" ht="15" thickBot="1" x14ac:dyDescent="0.35">
      <c r="A5" s="25" t="s">
        <v>604</v>
      </c>
      <c r="B5" s="26" t="s">
        <v>605</v>
      </c>
      <c r="C5" t="str">
        <f t="shared" si="0"/>
        <v>RM003-Telescoping roll</v>
      </c>
    </row>
    <row r="6" spans="1:3" ht="15" thickBot="1" x14ac:dyDescent="0.35">
      <c r="A6" s="25" t="s">
        <v>606</v>
      </c>
      <c r="B6" s="26" t="s">
        <v>607</v>
      </c>
      <c r="C6" t="str">
        <f t="shared" si="0"/>
        <v>RM004-Core damage / Core collapse</v>
      </c>
    </row>
    <row r="7" spans="1:3" ht="15" thickBot="1" x14ac:dyDescent="0.35">
      <c r="A7" s="25" t="s">
        <v>608</v>
      </c>
      <c r="B7" s="26" t="s">
        <v>609</v>
      </c>
      <c r="C7" t="str">
        <f t="shared" si="0"/>
        <v>RM005-Corona treatment failure (Low Dyne level)</v>
      </c>
    </row>
    <row r="8" spans="1:3" ht="15" thickBot="1" x14ac:dyDescent="0.35">
      <c r="A8" s="25" t="s">
        <v>610</v>
      </c>
      <c r="B8" s="26" t="s">
        <v>611</v>
      </c>
      <c r="C8" t="str">
        <f t="shared" si="0"/>
        <v>RM006-Gel spots / Polymer lumps</v>
      </c>
    </row>
    <row r="9" spans="1:3" ht="15" thickBot="1" x14ac:dyDescent="0.35">
      <c r="A9" s="25" t="s">
        <v>612</v>
      </c>
      <c r="B9" s="26" t="s">
        <v>613</v>
      </c>
      <c r="C9" t="str">
        <f t="shared" si="0"/>
        <v>RM007-Pinholes / Micro-perforations</v>
      </c>
    </row>
    <row r="10" spans="1:3" ht="15" thickBot="1" x14ac:dyDescent="0.35">
      <c r="A10" s="25" t="s">
        <v>614</v>
      </c>
      <c r="B10" s="26" t="s">
        <v>615</v>
      </c>
      <c r="C10" t="str">
        <f t="shared" si="0"/>
        <v>RM008-Film wrinkles / Creases</v>
      </c>
    </row>
    <row r="11" spans="1:3" ht="15" thickBot="1" x14ac:dyDescent="0.35">
      <c r="A11" s="25" t="s">
        <v>616</v>
      </c>
      <c r="B11" s="26" t="s">
        <v>617</v>
      </c>
      <c r="C11" t="str">
        <f t="shared" si="0"/>
        <v>RM009-Edge damage / Nicked edges</v>
      </c>
    </row>
    <row r="12" spans="1:3" ht="15" thickBot="1" x14ac:dyDescent="0.35">
      <c r="A12" s="25" t="s">
        <v>618</v>
      </c>
      <c r="B12" s="26" t="s">
        <v>619</v>
      </c>
      <c r="C12" t="str">
        <f t="shared" si="0"/>
        <v>RM010-Surface scratches / Abrasions</v>
      </c>
    </row>
    <row r="13" spans="1:3" ht="15" thickBot="1" x14ac:dyDescent="0.35">
      <c r="A13" s="25" t="s">
        <v>620</v>
      </c>
      <c r="B13" s="26" t="s">
        <v>639</v>
      </c>
      <c r="C13" t="str">
        <f t="shared" si="0"/>
        <v>RM011-Color shade variation (Inks)</v>
      </c>
    </row>
    <row r="14" spans="1:3" ht="15" thickBot="1" x14ac:dyDescent="0.35">
      <c r="A14" s="25" t="s">
        <v>621</v>
      </c>
      <c r="B14" s="26" t="s">
        <v>622</v>
      </c>
      <c r="C14" t="str">
        <f t="shared" si="0"/>
        <v>RM012-Viscosity out of specification (Inks / Adhesives)</v>
      </c>
    </row>
    <row r="15" spans="1:3" ht="15" thickBot="1" x14ac:dyDescent="0.35">
      <c r="A15" s="25" t="s">
        <v>623</v>
      </c>
      <c r="B15" s="26" t="s">
        <v>624</v>
      </c>
      <c r="C15" t="str">
        <f t="shared" si="0"/>
        <v>RM013-Moisture contamination / Water ingress</v>
      </c>
    </row>
    <row r="16" spans="1:3" ht="15" thickBot="1" x14ac:dyDescent="0.35">
      <c r="A16" s="25" t="s">
        <v>625</v>
      </c>
      <c r="B16" s="26" t="s">
        <v>626</v>
      </c>
      <c r="C16" t="str">
        <f t="shared" si="0"/>
        <v>RM014-Phase separation / Settling (Adhesives / Coatings)</v>
      </c>
    </row>
    <row r="17" spans="1:3" ht="15" thickBot="1" x14ac:dyDescent="0.35">
      <c r="A17" s="25" t="s">
        <v>627</v>
      </c>
      <c r="B17" s="26" t="s">
        <v>628</v>
      </c>
      <c r="C17" t="str">
        <f t="shared" si="0"/>
        <v>RM015-Expired shelf life / Pot life exceeded</v>
      </c>
    </row>
    <row r="18" spans="1:3" ht="15" thickBot="1" x14ac:dyDescent="0.35">
      <c r="A18" s="25" t="s">
        <v>629</v>
      </c>
      <c r="B18" s="26" t="s">
        <v>630</v>
      </c>
      <c r="C18" t="str">
        <f t="shared" si="0"/>
        <v>RM016-Incorrect solid content percentage</v>
      </c>
    </row>
    <row r="19" spans="1:3" ht="15" thickBot="1" x14ac:dyDescent="0.35">
      <c r="A19" s="25" t="s">
        <v>631</v>
      </c>
      <c r="B19" s="26" t="s">
        <v>632</v>
      </c>
      <c r="C19" t="str">
        <f t="shared" si="0"/>
        <v>RM017-Packaging container / Drum leakage or damage</v>
      </c>
    </row>
    <row r="20" spans="1:3" ht="15" thickBot="1" x14ac:dyDescent="0.35">
      <c r="A20" s="25" t="s">
        <v>633</v>
      </c>
      <c r="B20" s="26" t="s">
        <v>634</v>
      </c>
      <c r="C20" t="str">
        <f t="shared" si="0"/>
        <v>RM018-Labeling / Batch number mismatch</v>
      </c>
    </row>
    <row r="21" spans="1:3" ht="15" thickBot="1" x14ac:dyDescent="0.35">
      <c r="A21" s="25" t="s">
        <v>635</v>
      </c>
      <c r="B21" s="26" t="s">
        <v>636</v>
      </c>
      <c r="C21" t="str">
        <f t="shared" si="0"/>
        <v>RM019-Foreign particle contamination</v>
      </c>
    </row>
    <row r="22" spans="1:3" ht="15" thickBot="1" x14ac:dyDescent="0.35">
      <c r="A22" s="25" t="s">
        <v>637</v>
      </c>
      <c r="B22" s="26" t="s">
        <v>638</v>
      </c>
      <c r="C22" t="str">
        <f t="shared" si="0"/>
        <v>RM020-High residual solvent / Odor in raw material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A597-ABCA-4161-AF31-56B1A51CA396}">
  <dimension ref="A1:K61"/>
  <sheetViews>
    <sheetView topLeftCell="A14" workbookViewId="0">
      <selection activeCell="E41" sqref="E41"/>
    </sheetView>
  </sheetViews>
  <sheetFormatPr defaultRowHeight="14.4" x14ac:dyDescent="0.3"/>
  <cols>
    <col min="1" max="1" width="25.6640625" bestFit="1" customWidth="1"/>
    <col min="2" max="2" width="24.5546875" bestFit="1" customWidth="1"/>
    <col min="3" max="3" width="41.6640625" bestFit="1" customWidth="1"/>
    <col min="4" max="4" width="30.21875" bestFit="1" customWidth="1"/>
    <col min="5" max="5" width="25.21875" bestFit="1" customWidth="1"/>
    <col min="6" max="6" width="35.21875" bestFit="1" customWidth="1"/>
    <col min="7" max="7" width="28.6640625" bestFit="1" customWidth="1"/>
    <col min="8" max="8" width="39.5546875" bestFit="1" customWidth="1"/>
    <col min="9" max="9" width="25.44140625" bestFit="1" customWidth="1"/>
    <col min="10" max="10" width="25.44140625" customWidth="1"/>
    <col min="11" max="11" width="35.33203125" bestFit="1" customWidth="1"/>
  </cols>
  <sheetData>
    <row r="1" spans="1:11" x14ac:dyDescent="0.3">
      <c r="A1" t="s">
        <v>418</v>
      </c>
      <c r="K1" s="16" t="s">
        <v>455</v>
      </c>
    </row>
    <row r="2" spans="1:11" x14ac:dyDescent="0.3">
      <c r="A2" t="s">
        <v>419</v>
      </c>
    </row>
    <row r="3" spans="1:11" x14ac:dyDescent="0.3">
      <c r="A3" t="s">
        <v>522</v>
      </c>
    </row>
    <row r="4" spans="1:11" x14ac:dyDescent="0.3">
      <c r="A4" t="s">
        <v>420</v>
      </c>
    </row>
    <row r="5" spans="1:11" x14ac:dyDescent="0.3">
      <c r="A5" t="s">
        <v>421</v>
      </c>
    </row>
    <row r="6" spans="1:11" x14ac:dyDescent="0.3">
      <c r="A6" t="s">
        <v>422</v>
      </c>
    </row>
    <row r="7" spans="1:11" x14ac:dyDescent="0.3">
      <c r="A7" t="s">
        <v>423</v>
      </c>
    </row>
    <row r="16" spans="1:11" x14ac:dyDescent="0.3">
      <c r="D16" t="s">
        <v>531</v>
      </c>
    </row>
    <row r="17" spans="2:11" x14ac:dyDescent="0.3">
      <c r="D17" t="s">
        <v>532</v>
      </c>
    </row>
    <row r="18" spans="2:11" x14ac:dyDescent="0.3">
      <c r="C18" s="14" t="s">
        <v>524</v>
      </c>
      <c r="E18" s="14" t="s">
        <v>525</v>
      </c>
    </row>
    <row r="19" spans="2:11" x14ac:dyDescent="0.3">
      <c r="B19" t="s">
        <v>485</v>
      </c>
      <c r="C19" t="s">
        <v>526</v>
      </c>
    </row>
    <row r="20" spans="2:11" x14ac:dyDescent="0.3">
      <c r="B20" t="s">
        <v>485</v>
      </c>
      <c r="C20" t="s">
        <v>527</v>
      </c>
    </row>
    <row r="21" spans="2:11" x14ac:dyDescent="0.3">
      <c r="B21" t="s">
        <v>533</v>
      </c>
      <c r="C21" t="s">
        <v>528</v>
      </c>
      <c r="E21" t="s">
        <v>528</v>
      </c>
      <c r="F21" t="s">
        <v>536</v>
      </c>
    </row>
    <row r="22" spans="2:11" x14ac:dyDescent="0.3">
      <c r="B22" t="s">
        <v>534</v>
      </c>
      <c r="C22" t="s">
        <v>529</v>
      </c>
      <c r="E22" t="s">
        <v>529</v>
      </c>
      <c r="F22" t="s">
        <v>534</v>
      </c>
    </row>
    <row r="23" spans="2:11" x14ac:dyDescent="0.3">
      <c r="B23" t="s">
        <v>535</v>
      </c>
      <c r="C23" t="s">
        <v>530</v>
      </c>
      <c r="E23" t="s">
        <v>530</v>
      </c>
      <c r="F23" t="s">
        <v>535</v>
      </c>
    </row>
    <row r="26" spans="2:11" x14ac:dyDescent="0.3">
      <c r="C26" s="33"/>
      <c r="D26" s="33"/>
    </row>
    <row r="27" spans="2:11" x14ac:dyDescent="0.3">
      <c r="C27" s="33" t="s">
        <v>559</v>
      </c>
      <c r="D27" s="33"/>
    </row>
    <row r="28" spans="2:11" x14ac:dyDescent="0.3">
      <c r="B28" t="s">
        <v>565</v>
      </c>
      <c r="C28" t="s">
        <v>523</v>
      </c>
      <c r="D28" s="15" t="s">
        <v>537</v>
      </c>
    </row>
    <row r="29" spans="2:11" x14ac:dyDescent="0.3">
      <c r="B29" t="s">
        <v>560</v>
      </c>
      <c r="C29" t="s">
        <v>566</v>
      </c>
      <c r="D29" s="11" t="s">
        <v>454</v>
      </c>
      <c r="E29" s="8" t="s">
        <v>538</v>
      </c>
      <c r="F29" s="8" t="s">
        <v>539</v>
      </c>
      <c r="G29" s="8" t="s">
        <v>554</v>
      </c>
      <c r="H29" t="s">
        <v>555</v>
      </c>
      <c r="I29" s="8" t="s">
        <v>556</v>
      </c>
      <c r="J29" s="8" t="s">
        <v>557</v>
      </c>
      <c r="K29" s="8" t="s">
        <v>558</v>
      </c>
    </row>
    <row r="30" spans="2:11" x14ac:dyDescent="0.3">
      <c r="B30" t="s">
        <v>561</v>
      </c>
      <c r="C30" t="s">
        <v>542</v>
      </c>
      <c r="D30" s="11" t="s">
        <v>456</v>
      </c>
      <c r="E30" s="11" t="s">
        <v>457</v>
      </c>
      <c r="F30" s="11" t="s">
        <v>472</v>
      </c>
      <c r="G30" s="8" t="s">
        <v>547</v>
      </c>
      <c r="H30" s="8" t="s">
        <v>547</v>
      </c>
      <c r="I30" s="8" t="s">
        <v>547</v>
      </c>
      <c r="J30" s="11" t="s">
        <v>462</v>
      </c>
      <c r="K30" s="11" t="s">
        <v>461</v>
      </c>
    </row>
    <row r="31" spans="2:11" x14ac:dyDescent="0.3">
      <c r="B31" t="s">
        <v>562</v>
      </c>
      <c r="C31" t="s">
        <v>451</v>
      </c>
      <c r="D31" s="11" t="s">
        <v>459</v>
      </c>
      <c r="E31" s="11" t="s">
        <v>458</v>
      </c>
      <c r="F31" t="s">
        <v>551</v>
      </c>
      <c r="J31" s="11" t="s">
        <v>463</v>
      </c>
      <c r="K31" s="11" t="s">
        <v>480</v>
      </c>
    </row>
    <row r="32" spans="2:11" x14ac:dyDescent="0.3">
      <c r="B32" s="37" t="s">
        <v>563</v>
      </c>
      <c r="C32" t="s">
        <v>430</v>
      </c>
      <c r="D32" s="11" t="s">
        <v>460</v>
      </c>
      <c r="E32" t="s">
        <v>543</v>
      </c>
      <c r="F32" t="s">
        <v>552</v>
      </c>
      <c r="J32" s="11" t="s">
        <v>476</v>
      </c>
      <c r="K32" s="11" t="s">
        <v>498</v>
      </c>
    </row>
    <row r="33" spans="2:11" x14ac:dyDescent="0.3">
      <c r="B33" s="37"/>
      <c r="C33" t="s">
        <v>436</v>
      </c>
      <c r="D33" s="11" t="s">
        <v>541</v>
      </c>
      <c r="E33" t="s">
        <v>544</v>
      </c>
      <c r="F33" t="s">
        <v>553</v>
      </c>
      <c r="J33" s="11" t="s">
        <v>503</v>
      </c>
      <c r="K33" s="11" t="s">
        <v>499</v>
      </c>
    </row>
    <row r="34" spans="2:11" x14ac:dyDescent="0.3">
      <c r="B34" s="37"/>
      <c r="C34" t="s">
        <v>440</v>
      </c>
      <c r="D34" s="11" t="s">
        <v>465</v>
      </c>
      <c r="E34" t="s">
        <v>545</v>
      </c>
      <c r="F34" s="8" t="s">
        <v>547</v>
      </c>
      <c r="J34" s="11" t="s">
        <v>479</v>
      </c>
      <c r="K34" s="11" t="s">
        <v>500</v>
      </c>
    </row>
    <row r="35" spans="2:11" x14ac:dyDescent="0.3">
      <c r="B35" s="38" t="s">
        <v>564</v>
      </c>
      <c r="C35" t="s">
        <v>367</v>
      </c>
      <c r="D35" s="11" t="s">
        <v>466</v>
      </c>
      <c r="E35" t="s">
        <v>548</v>
      </c>
      <c r="J35" s="11" t="s">
        <v>493</v>
      </c>
      <c r="K35" s="11" t="s">
        <v>501</v>
      </c>
    </row>
    <row r="36" spans="2:11" x14ac:dyDescent="0.3">
      <c r="B36" s="38"/>
      <c r="C36" t="s">
        <v>449</v>
      </c>
      <c r="D36" s="11" t="s">
        <v>467</v>
      </c>
      <c r="E36" t="s">
        <v>549</v>
      </c>
      <c r="J36" s="11" t="s">
        <v>504</v>
      </c>
      <c r="K36" s="11" t="s">
        <v>502</v>
      </c>
    </row>
    <row r="37" spans="2:11" x14ac:dyDescent="0.3">
      <c r="C37" s="8" t="s">
        <v>546</v>
      </c>
      <c r="D37" s="11" t="s">
        <v>468</v>
      </c>
      <c r="E37" t="s">
        <v>550</v>
      </c>
      <c r="J37" s="11" t="s">
        <v>506</v>
      </c>
      <c r="K37" s="11" t="s">
        <v>507</v>
      </c>
    </row>
    <row r="38" spans="2:11" x14ac:dyDescent="0.3">
      <c r="D38" s="11" t="s">
        <v>469</v>
      </c>
      <c r="E38" s="8" t="s">
        <v>547</v>
      </c>
      <c r="J38" s="8" t="s">
        <v>547</v>
      </c>
      <c r="K38" s="11" t="s">
        <v>505</v>
      </c>
    </row>
    <row r="39" spans="2:11" x14ac:dyDescent="0.3">
      <c r="D39" s="11" t="s">
        <v>470</v>
      </c>
      <c r="K39" s="8" t="s">
        <v>547</v>
      </c>
    </row>
    <row r="40" spans="2:11" x14ac:dyDescent="0.3">
      <c r="D40" s="11" t="s">
        <v>473</v>
      </c>
    </row>
    <row r="41" spans="2:11" x14ac:dyDescent="0.3">
      <c r="D41" s="11" t="s">
        <v>474</v>
      </c>
    </row>
    <row r="42" spans="2:11" x14ac:dyDescent="0.3">
      <c r="D42" s="11" t="s">
        <v>475</v>
      </c>
    </row>
    <row r="43" spans="2:11" x14ac:dyDescent="0.3">
      <c r="D43" s="11" t="s">
        <v>477</v>
      </c>
    </row>
    <row r="44" spans="2:11" x14ac:dyDescent="0.3">
      <c r="D44" s="11" t="s">
        <v>478</v>
      </c>
    </row>
    <row r="45" spans="2:11" x14ac:dyDescent="0.3">
      <c r="D45" s="11" t="s">
        <v>492</v>
      </c>
    </row>
    <row r="46" spans="2:11" x14ac:dyDescent="0.3">
      <c r="D46" s="18" t="s">
        <v>540</v>
      </c>
    </row>
    <row r="47" spans="2:11" x14ac:dyDescent="0.3">
      <c r="D47" s="11" t="s">
        <v>489</v>
      </c>
    </row>
    <row r="48" spans="2:11" x14ac:dyDescent="0.3">
      <c r="D48" s="11" t="s">
        <v>490</v>
      </c>
    </row>
    <row r="49" spans="4:6" x14ac:dyDescent="0.3">
      <c r="D49" s="11" t="s">
        <v>452</v>
      </c>
    </row>
    <row r="50" spans="4:6" x14ac:dyDescent="0.3">
      <c r="D50" s="11" t="s">
        <v>453</v>
      </c>
      <c r="F50" s="8"/>
    </row>
    <row r="51" spans="4:6" x14ac:dyDescent="0.3">
      <c r="D51" s="8" t="s">
        <v>547</v>
      </c>
    </row>
    <row r="55" spans="4:6" x14ac:dyDescent="0.3">
      <c r="F55" s="8"/>
    </row>
    <row r="57" spans="4:6" x14ac:dyDescent="0.3">
      <c r="F57" s="8"/>
    </row>
    <row r="61" spans="4:6" x14ac:dyDescent="0.3">
      <c r="F61" s="8"/>
    </row>
  </sheetData>
  <mergeCells count="4">
    <mergeCell ref="C27:D27"/>
    <mergeCell ref="C26:D26"/>
    <mergeCell ref="B32:B34"/>
    <mergeCell ref="B35:B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7CD1E-17DA-43FE-8593-67E54B576754}">
  <dimension ref="A1:G25"/>
  <sheetViews>
    <sheetView workbookViewId="0">
      <selection activeCell="A13" sqref="A13"/>
    </sheetView>
  </sheetViews>
  <sheetFormatPr defaultRowHeight="14.4" x14ac:dyDescent="0.3"/>
  <cols>
    <col min="1" max="1" width="16.5546875" bestFit="1" customWidth="1"/>
    <col min="2" max="2" width="25.109375" bestFit="1" customWidth="1"/>
    <col min="3" max="3" width="27.88671875" bestFit="1" customWidth="1"/>
    <col min="4" max="4" width="18.77734375" bestFit="1" customWidth="1"/>
    <col min="5" max="5" width="20" bestFit="1" customWidth="1"/>
    <col min="6" max="7" width="20.44140625" bestFit="1" customWidth="1"/>
  </cols>
  <sheetData>
    <row r="1" spans="1:7" x14ac:dyDescent="0.3">
      <c r="A1" s="8" t="s">
        <v>424</v>
      </c>
      <c r="B1" s="8" t="s">
        <v>430</v>
      </c>
      <c r="C1" s="8" t="s">
        <v>436</v>
      </c>
      <c r="D1" s="8" t="s">
        <v>440</v>
      </c>
      <c r="E1" s="8" t="s">
        <v>367</v>
      </c>
      <c r="F1" s="8" t="s">
        <v>449</v>
      </c>
      <c r="G1" s="8" t="s">
        <v>451</v>
      </c>
    </row>
    <row r="2" spans="1:7" x14ac:dyDescent="0.3">
      <c r="A2" t="s">
        <v>425</v>
      </c>
      <c r="B2" t="s">
        <v>431</v>
      </c>
      <c r="C2" t="s">
        <v>437</v>
      </c>
      <c r="D2" t="s">
        <v>441</v>
      </c>
      <c r="E2" t="s">
        <v>445</v>
      </c>
      <c r="F2" t="s">
        <v>445</v>
      </c>
      <c r="G2" t="s">
        <v>445</v>
      </c>
    </row>
    <row r="3" spans="1:7" x14ac:dyDescent="0.3">
      <c r="A3" t="s">
        <v>426</v>
      </c>
      <c r="B3" t="s">
        <v>432</v>
      </c>
      <c r="C3" t="s">
        <v>438</v>
      </c>
      <c r="D3" t="s">
        <v>442</v>
      </c>
      <c r="E3" t="s">
        <v>446</v>
      </c>
      <c r="F3" t="s">
        <v>446</v>
      </c>
      <c r="G3" t="s">
        <v>446</v>
      </c>
    </row>
    <row r="4" spans="1:7" x14ac:dyDescent="0.3">
      <c r="A4" t="s">
        <v>427</v>
      </c>
      <c r="B4" t="s">
        <v>433</v>
      </c>
      <c r="C4" t="s">
        <v>313</v>
      </c>
      <c r="D4" t="s">
        <v>443</v>
      </c>
      <c r="E4" t="s">
        <v>447</v>
      </c>
      <c r="F4" t="s">
        <v>447</v>
      </c>
      <c r="G4" t="s">
        <v>447</v>
      </c>
    </row>
    <row r="5" spans="1:7" x14ac:dyDescent="0.3">
      <c r="A5" t="s">
        <v>428</v>
      </c>
      <c r="B5" t="s">
        <v>434</v>
      </c>
      <c r="C5" t="s">
        <v>439</v>
      </c>
      <c r="D5" t="s">
        <v>444</v>
      </c>
      <c r="E5" t="s">
        <v>448</v>
      </c>
      <c r="F5" t="s">
        <v>450</v>
      </c>
      <c r="G5" t="s">
        <v>450</v>
      </c>
    </row>
    <row r="6" spans="1:7" x14ac:dyDescent="0.3">
      <c r="A6" t="s">
        <v>429</v>
      </c>
      <c r="B6" t="s">
        <v>435</v>
      </c>
      <c r="C6" t="s">
        <v>429</v>
      </c>
      <c r="D6" t="s">
        <v>429</v>
      </c>
      <c r="E6" t="s">
        <v>429</v>
      </c>
      <c r="F6" t="s">
        <v>429</v>
      </c>
      <c r="G6" t="s">
        <v>429</v>
      </c>
    </row>
    <row r="7" spans="1:7" x14ac:dyDescent="0.3">
      <c r="B7" t="s">
        <v>429</v>
      </c>
    </row>
    <row r="13" spans="1:7" x14ac:dyDescent="0.3">
      <c r="A13" s="15" t="s">
        <v>509</v>
      </c>
      <c r="B13" s="12"/>
      <c r="D13" s="13"/>
      <c r="E13" s="13"/>
      <c r="F13" s="13"/>
      <c r="G13" s="13"/>
    </row>
    <row r="14" spans="1:7" x14ac:dyDescent="0.3">
      <c r="A14" t="s">
        <v>510</v>
      </c>
    </row>
    <row r="15" spans="1:7" x14ac:dyDescent="0.3">
      <c r="A15" t="s">
        <v>511</v>
      </c>
    </row>
    <row r="16" spans="1:7" x14ac:dyDescent="0.3">
      <c r="A16" t="s">
        <v>512</v>
      </c>
    </row>
    <row r="17" spans="1:1" x14ac:dyDescent="0.3">
      <c r="A17" t="s">
        <v>513</v>
      </c>
    </row>
    <row r="18" spans="1:1" x14ac:dyDescent="0.3">
      <c r="A18" t="s">
        <v>514</v>
      </c>
    </row>
    <row r="19" spans="1:1" x14ac:dyDescent="0.3">
      <c r="A19" t="s">
        <v>515</v>
      </c>
    </row>
    <row r="20" spans="1:1" x14ac:dyDescent="0.3">
      <c r="A20" t="s">
        <v>516</v>
      </c>
    </row>
    <row r="21" spans="1:1" x14ac:dyDescent="0.3">
      <c r="A21" t="s">
        <v>517</v>
      </c>
    </row>
    <row r="22" spans="1:1" x14ac:dyDescent="0.3">
      <c r="A22" t="s">
        <v>518</v>
      </c>
    </row>
    <row r="23" spans="1:1" x14ac:dyDescent="0.3">
      <c r="A23" t="s">
        <v>519</v>
      </c>
    </row>
    <row r="24" spans="1:1" x14ac:dyDescent="0.3">
      <c r="A24" t="s">
        <v>520</v>
      </c>
    </row>
    <row r="25" spans="1:1" x14ac:dyDescent="0.3">
      <c r="A25" t="s">
        <v>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B1A5-69C6-4159-984C-AC81EF10156F}">
  <dimension ref="A1:N44"/>
  <sheetViews>
    <sheetView workbookViewId="0">
      <pane ySplit="1" topLeftCell="A4" activePane="bottomLeft" state="frozen"/>
      <selection pane="bottomLeft" activeCell="H28" sqref="H28"/>
    </sheetView>
  </sheetViews>
  <sheetFormatPr defaultRowHeight="14.4" x14ac:dyDescent="0.3"/>
  <cols>
    <col min="1" max="1" width="35.33203125" bestFit="1" customWidth="1"/>
    <col min="2" max="2" width="16.77734375" customWidth="1"/>
    <col min="3" max="3" width="11.5546875" bestFit="1" customWidth="1"/>
    <col min="4" max="4" width="10.109375" bestFit="1" customWidth="1"/>
    <col min="8" max="8" width="9.88671875" bestFit="1" customWidth="1"/>
  </cols>
  <sheetData>
    <row r="1" spans="1:14" s="9" customFormat="1" x14ac:dyDescent="0.3">
      <c r="A1" s="10" t="s">
        <v>508</v>
      </c>
      <c r="B1" s="10" t="s">
        <v>494</v>
      </c>
      <c r="C1" s="10" t="s">
        <v>481</v>
      </c>
      <c r="D1" s="10" t="s">
        <v>114</v>
      </c>
      <c r="E1" s="10" t="s">
        <v>160</v>
      </c>
      <c r="F1" s="10" t="s">
        <v>482</v>
      </c>
      <c r="G1" s="10" t="s">
        <v>225</v>
      </c>
      <c r="H1" s="10" t="s">
        <v>483</v>
      </c>
      <c r="I1" s="10" t="s">
        <v>484</v>
      </c>
      <c r="J1" s="10" t="s">
        <v>485</v>
      </c>
      <c r="K1" s="10" t="s">
        <v>486</v>
      </c>
      <c r="L1" s="10" t="s">
        <v>487</v>
      </c>
      <c r="M1" s="10" t="s">
        <v>488</v>
      </c>
      <c r="N1" s="10" t="s">
        <v>491</v>
      </c>
    </row>
    <row r="2" spans="1:14" x14ac:dyDescent="0.3">
      <c r="A2" s="11" t="s">
        <v>452</v>
      </c>
      <c r="B2" s="11" t="s">
        <v>495</v>
      </c>
      <c r="C2" s="11">
        <v>1</v>
      </c>
      <c r="D2" s="11">
        <v>1</v>
      </c>
      <c r="E2" s="11">
        <v>1</v>
      </c>
      <c r="F2" s="11">
        <v>1</v>
      </c>
      <c r="G2" s="11">
        <v>1</v>
      </c>
      <c r="H2" s="11">
        <v>1</v>
      </c>
      <c r="I2" s="11">
        <v>1</v>
      </c>
      <c r="J2" s="11">
        <v>1</v>
      </c>
      <c r="K2" s="11">
        <v>1</v>
      </c>
      <c r="L2" s="11">
        <v>1</v>
      </c>
      <c r="M2" s="11">
        <v>0</v>
      </c>
      <c r="N2" s="11">
        <v>1</v>
      </c>
    </row>
    <row r="3" spans="1:14" x14ac:dyDescent="0.3">
      <c r="A3" s="11" t="s">
        <v>453</v>
      </c>
      <c r="B3" s="11" t="s">
        <v>495</v>
      </c>
      <c r="C3" s="11">
        <v>1</v>
      </c>
      <c r="D3" s="11">
        <v>1</v>
      </c>
      <c r="E3" s="11">
        <v>1</v>
      </c>
      <c r="F3" s="11">
        <v>1</v>
      </c>
      <c r="G3" s="11">
        <v>1</v>
      </c>
      <c r="H3" s="11">
        <v>1</v>
      </c>
      <c r="I3" s="11">
        <v>1</v>
      </c>
      <c r="J3" s="11">
        <v>1</v>
      </c>
      <c r="K3" s="11">
        <v>1</v>
      </c>
      <c r="L3" s="11">
        <v>1</v>
      </c>
      <c r="M3" s="11">
        <v>0</v>
      </c>
      <c r="N3" s="11">
        <v>1</v>
      </c>
    </row>
    <row r="4" spans="1:14" x14ac:dyDescent="0.3">
      <c r="A4" s="11" t="s">
        <v>454</v>
      </c>
      <c r="B4" s="11" t="s">
        <v>495</v>
      </c>
      <c r="C4" s="11">
        <v>1</v>
      </c>
      <c r="D4" s="11">
        <v>1</v>
      </c>
      <c r="E4" s="11">
        <v>1</v>
      </c>
      <c r="F4" s="11">
        <v>1</v>
      </c>
      <c r="G4" s="11">
        <v>1</v>
      </c>
      <c r="H4" s="11">
        <v>1</v>
      </c>
      <c r="I4" s="11">
        <v>0</v>
      </c>
      <c r="J4" s="11">
        <v>1</v>
      </c>
      <c r="K4" s="11">
        <v>0</v>
      </c>
      <c r="L4" s="11">
        <v>0</v>
      </c>
      <c r="M4" s="11">
        <v>1</v>
      </c>
      <c r="N4" s="11">
        <v>0</v>
      </c>
    </row>
    <row r="5" spans="1:14" x14ac:dyDescent="0.3">
      <c r="A5" s="11" t="s">
        <v>455</v>
      </c>
      <c r="B5" s="11" t="s">
        <v>496</v>
      </c>
      <c r="C5" s="11">
        <v>1</v>
      </c>
      <c r="D5" s="11">
        <v>1</v>
      </c>
      <c r="E5" s="11">
        <v>1</v>
      </c>
      <c r="F5" s="11">
        <v>1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3">
      <c r="A6" s="11" t="s">
        <v>456</v>
      </c>
      <c r="B6" s="11" t="s">
        <v>495</v>
      </c>
      <c r="C6" s="11">
        <v>1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</row>
    <row r="7" spans="1:14" x14ac:dyDescent="0.3">
      <c r="A7" s="11" t="s">
        <v>457</v>
      </c>
      <c r="B7" s="11" t="s">
        <v>497</v>
      </c>
      <c r="C7" s="11">
        <v>1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</row>
    <row r="8" spans="1:14" x14ac:dyDescent="0.3">
      <c r="A8" s="11" t="s">
        <v>458</v>
      </c>
      <c r="B8" s="11" t="s">
        <v>497</v>
      </c>
      <c r="C8" s="11">
        <v>1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</row>
    <row r="9" spans="1:14" x14ac:dyDescent="0.3">
      <c r="A9" s="11" t="s">
        <v>459</v>
      </c>
      <c r="B9" s="11" t="s">
        <v>495</v>
      </c>
      <c r="C9" s="11">
        <v>1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</row>
    <row r="10" spans="1:14" x14ac:dyDescent="0.3">
      <c r="A10" s="11" t="s">
        <v>460</v>
      </c>
      <c r="B10" s="11" t="s">
        <v>495</v>
      </c>
      <c r="C10" s="11">
        <v>1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</row>
    <row r="11" spans="1:14" x14ac:dyDescent="0.3">
      <c r="A11" s="11" t="s">
        <v>461</v>
      </c>
      <c r="B11" s="11" t="s">
        <v>496</v>
      </c>
      <c r="C11" s="11">
        <v>1</v>
      </c>
      <c r="D11" s="11">
        <v>0</v>
      </c>
      <c r="E11" s="11">
        <v>0</v>
      </c>
      <c r="F11" s="11">
        <v>0</v>
      </c>
      <c r="G11" s="11">
        <v>0</v>
      </c>
      <c r="H11" s="11">
        <v>1</v>
      </c>
      <c r="I11" s="11">
        <v>0</v>
      </c>
      <c r="J11" s="11">
        <v>1</v>
      </c>
      <c r="K11" s="11">
        <v>0</v>
      </c>
      <c r="L11" s="11">
        <v>0</v>
      </c>
      <c r="M11" s="11">
        <v>1</v>
      </c>
      <c r="N11" s="11">
        <v>0</v>
      </c>
    </row>
    <row r="12" spans="1:14" x14ac:dyDescent="0.3">
      <c r="A12" s="11" t="s">
        <v>480</v>
      </c>
      <c r="B12" s="11" t="s">
        <v>496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0</v>
      </c>
      <c r="L12" s="11">
        <v>0</v>
      </c>
      <c r="M12" s="11">
        <v>0</v>
      </c>
      <c r="N12" s="11">
        <v>0</v>
      </c>
    </row>
    <row r="13" spans="1:14" x14ac:dyDescent="0.3">
      <c r="A13" s="11" t="s">
        <v>462</v>
      </c>
      <c r="B13" s="11" t="s">
        <v>497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1</v>
      </c>
      <c r="K13" s="11">
        <v>0</v>
      </c>
      <c r="L13" s="11">
        <v>0</v>
      </c>
      <c r="M13" s="11">
        <v>1</v>
      </c>
      <c r="N13" s="11">
        <v>0</v>
      </c>
    </row>
    <row r="14" spans="1:14" x14ac:dyDescent="0.3">
      <c r="A14" s="11" t="s">
        <v>463</v>
      </c>
      <c r="B14" s="11" t="s">
        <v>496</v>
      </c>
      <c r="C14" s="11">
        <v>1</v>
      </c>
      <c r="D14" s="11">
        <v>1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1</v>
      </c>
      <c r="K14" s="11">
        <v>0</v>
      </c>
      <c r="L14" s="11">
        <v>0</v>
      </c>
      <c r="M14" s="11">
        <v>1</v>
      </c>
      <c r="N14" s="11">
        <v>0</v>
      </c>
    </row>
    <row r="15" spans="1:14" x14ac:dyDescent="0.3">
      <c r="A15" s="11" t="s">
        <v>464</v>
      </c>
      <c r="B15" s="11" t="s">
        <v>495</v>
      </c>
      <c r="C15" s="11">
        <v>1</v>
      </c>
      <c r="D15" s="11">
        <v>1</v>
      </c>
      <c r="E15" s="11">
        <v>1</v>
      </c>
      <c r="F15" s="11">
        <v>1</v>
      </c>
      <c r="G15" s="11">
        <v>1</v>
      </c>
      <c r="H15" s="11">
        <v>1</v>
      </c>
      <c r="I15" s="11">
        <v>0</v>
      </c>
      <c r="J15" s="11">
        <v>1</v>
      </c>
      <c r="K15" s="11">
        <v>0</v>
      </c>
      <c r="L15" s="11">
        <v>1</v>
      </c>
      <c r="M15" s="11">
        <v>1</v>
      </c>
      <c r="N15" s="11">
        <v>1</v>
      </c>
    </row>
    <row r="16" spans="1:14" x14ac:dyDescent="0.3">
      <c r="A16" s="11" t="s">
        <v>465</v>
      </c>
      <c r="B16" s="11" t="s">
        <v>495</v>
      </c>
      <c r="C16" s="11">
        <v>1</v>
      </c>
      <c r="D16" s="11">
        <v>1</v>
      </c>
      <c r="E16" s="11">
        <v>1</v>
      </c>
      <c r="F16" s="11">
        <v>1</v>
      </c>
      <c r="G16" s="11">
        <v>1</v>
      </c>
      <c r="H16" s="11">
        <v>1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</row>
    <row r="17" spans="1:14" x14ac:dyDescent="0.3">
      <c r="A17" s="11" t="s">
        <v>466</v>
      </c>
      <c r="B17" s="11" t="s">
        <v>495</v>
      </c>
      <c r="C17" s="11">
        <v>1</v>
      </c>
      <c r="D17" s="11">
        <v>1</v>
      </c>
      <c r="E17" s="11">
        <v>1</v>
      </c>
      <c r="F17" s="11">
        <v>1</v>
      </c>
      <c r="G17" s="11">
        <v>1</v>
      </c>
      <c r="H17" s="11">
        <v>1</v>
      </c>
      <c r="I17" s="11">
        <v>0</v>
      </c>
      <c r="J17" s="11">
        <v>1</v>
      </c>
      <c r="K17" s="11">
        <v>0</v>
      </c>
      <c r="L17" s="11">
        <v>1</v>
      </c>
      <c r="M17" s="11">
        <v>1</v>
      </c>
      <c r="N17" s="11">
        <v>0</v>
      </c>
    </row>
    <row r="18" spans="1:14" x14ac:dyDescent="0.3">
      <c r="A18" s="11" t="s">
        <v>467</v>
      </c>
      <c r="B18" s="11" t="s">
        <v>495</v>
      </c>
      <c r="C18" s="11">
        <v>0</v>
      </c>
      <c r="D18" s="11">
        <v>1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  <row r="19" spans="1:14" x14ac:dyDescent="0.3">
      <c r="A19" s="11" t="s">
        <v>468</v>
      </c>
      <c r="B19" s="11" t="s">
        <v>497</v>
      </c>
      <c r="C19" s="11">
        <v>0</v>
      </c>
      <c r="D19" s="11">
        <v>1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x14ac:dyDescent="0.3">
      <c r="A20" s="11" t="s">
        <v>469</v>
      </c>
      <c r="B20" s="11" t="s">
        <v>495</v>
      </c>
      <c r="C20" s="11">
        <v>0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</row>
    <row r="21" spans="1:14" x14ac:dyDescent="0.3">
      <c r="A21" s="11" t="s">
        <v>470</v>
      </c>
      <c r="B21" s="11" t="s">
        <v>495</v>
      </c>
      <c r="C21" s="11">
        <v>0</v>
      </c>
      <c r="D21" s="11">
        <v>1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x14ac:dyDescent="0.3">
      <c r="A22" s="11" t="s">
        <v>471</v>
      </c>
      <c r="B22" s="11" t="s">
        <v>495</v>
      </c>
      <c r="C22" s="11">
        <v>1</v>
      </c>
      <c r="D22" s="11">
        <v>1</v>
      </c>
      <c r="E22" s="11">
        <v>1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</row>
    <row r="23" spans="1:14" x14ac:dyDescent="0.3">
      <c r="A23" s="11" t="s">
        <v>472</v>
      </c>
      <c r="B23" s="11" t="s">
        <v>496</v>
      </c>
      <c r="C23" s="11">
        <v>0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</row>
    <row r="24" spans="1:14" x14ac:dyDescent="0.3">
      <c r="A24" s="11" t="s">
        <v>473</v>
      </c>
      <c r="B24" s="11" t="s">
        <v>495</v>
      </c>
      <c r="C24" s="11">
        <v>1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</row>
    <row r="25" spans="1:14" x14ac:dyDescent="0.3">
      <c r="A25" s="11" t="s">
        <v>474</v>
      </c>
      <c r="B25" s="11" t="s">
        <v>496</v>
      </c>
      <c r="C25" s="11">
        <v>1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</row>
    <row r="26" spans="1:14" x14ac:dyDescent="0.3">
      <c r="A26" s="11" t="s">
        <v>475</v>
      </c>
      <c r="B26" s="11" t="s">
        <v>495</v>
      </c>
      <c r="C26" s="11">
        <v>1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</row>
    <row r="27" spans="1:14" x14ac:dyDescent="0.3">
      <c r="A27" s="11" t="s">
        <v>476</v>
      </c>
      <c r="B27" s="11" t="s">
        <v>496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1</v>
      </c>
      <c r="K27" s="11">
        <v>0</v>
      </c>
      <c r="L27" s="11">
        <v>0</v>
      </c>
      <c r="M27" s="11">
        <v>0</v>
      </c>
      <c r="N27" s="11">
        <v>0</v>
      </c>
    </row>
    <row r="28" spans="1:14" x14ac:dyDescent="0.3">
      <c r="A28" s="11" t="s">
        <v>477</v>
      </c>
      <c r="B28" s="11" t="s">
        <v>495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0</v>
      </c>
      <c r="M28" s="11">
        <v>1</v>
      </c>
      <c r="N28" s="11">
        <v>0</v>
      </c>
    </row>
    <row r="29" spans="1:14" x14ac:dyDescent="0.3">
      <c r="A29" s="11" t="s">
        <v>478</v>
      </c>
      <c r="B29" s="11" t="s">
        <v>496</v>
      </c>
      <c r="C29" s="11">
        <v>1</v>
      </c>
      <c r="D29" s="11">
        <v>1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0</v>
      </c>
      <c r="M29" s="11">
        <v>1</v>
      </c>
      <c r="N29" s="11">
        <v>0</v>
      </c>
    </row>
    <row r="30" spans="1:14" x14ac:dyDescent="0.3">
      <c r="A30" s="11" t="s">
        <v>503</v>
      </c>
      <c r="B30" s="11" t="s">
        <v>496</v>
      </c>
      <c r="C30" s="11">
        <v>1</v>
      </c>
      <c r="D30" s="11">
        <v>1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1</v>
      </c>
      <c r="K30" s="11">
        <v>0</v>
      </c>
      <c r="L30" s="11">
        <v>1</v>
      </c>
      <c r="M30" s="11">
        <v>0</v>
      </c>
      <c r="N30" s="11">
        <v>0</v>
      </c>
    </row>
    <row r="31" spans="1:14" x14ac:dyDescent="0.3">
      <c r="A31" s="11" t="s">
        <v>479</v>
      </c>
      <c r="B31" s="11" t="s">
        <v>496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1</v>
      </c>
      <c r="I31" s="11">
        <v>0</v>
      </c>
      <c r="J31" s="11">
        <v>1</v>
      </c>
      <c r="K31" s="11">
        <v>0</v>
      </c>
      <c r="L31" s="11">
        <v>0</v>
      </c>
      <c r="M31" s="11">
        <v>0</v>
      </c>
      <c r="N31" s="11">
        <v>0</v>
      </c>
    </row>
    <row r="32" spans="1:14" x14ac:dyDescent="0.3">
      <c r="A32" s="11" t="s">
        <v>489</v>
      </c>
      <c r="B32" s="11" t="s">
        <v>496</v>
      </c>
      <c r="C32" s="11">
        <v>1</v>
      </c>
      <c r="D32" s="11">
        <v>1</v>
      </c>
      <c r="E32" s="11">
        <v>1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0</v>
      </c>
      <c r="M32" s="11">
        <v>0</v>
      </c>
      <c r="N32" s="11">
        <v>1</v>
      </c>
    </row>
    <row r="33" spans="1:14" x14ac:dyDescent="0.3">
      <c r="A33" s="11" t="s">
        <v>490</v>
      </c>
      <c r="B33" s="11" t="s">
        <v>496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1</v>
      </c>
    </row>
    <row r="34" spans="1:14" x14ac:dyDescent="0.3">
      <c r="A34" s="11" t="s">
        <v>492</v>
      </c>
      <c r="B34" s="11" t="s">
        <v>495</v>
      </c>
      <c r="C34" s="11">
        <v>1</v>
      </c>
      <c r="D34" s="11">
        <v>1</v>
      </c>
      <c r="E34" s="11">
        <v>0</v>
      </c>
      <c r="F34" s="11">
        <v>0</v>
      </c>
      <c r="G34" s="11">
        <v>0</v>
      </c>
      <c r="H34" s="11">
        <v>1</v>
      </c>
      <c r="I34" s="11">
        <v>0</v>
      </c>
      <c r="J34" s="11">
        <v>1</v>
      </c>
      <c r="K34" s="11">
        <v>0</v>
      </c>
      <c r="L34" s="11">
        <v>0</v>
      </c>
      <c r="M34" s="11">
        <v>1</v>
      </c>
      <c r="N34" s="11">
        <v>0</v>
      </c>
    </row>
    <row r="35" spans="1:14" x14ac:dyDescent="0.3">
      <c r="A35" s="11" t="s">
        <v>493</v>
      </c>
      <c r="B35" s="11" t="s">
        <v>496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1</v>
      </c>
      <c r="K35" s="11">
        <v>0</v>
      </c>
      <c r="L35" s="11">
        <v>0</v>
      </c>
      <c r="M35" s="11">
        <v>0</v>
      </c>
      <c r="N35" s="11">
        <v>1</v>
      </c>
    </row>
    <row r="36" spans="1:14" x14ac:dyDescent="0.3">
      <c r="A36" s="11" t="s">
        <v>504</v>
      </c>
      <c r="B36" s="11" t="s">
        <v>496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1</v>
      </c>
      <c r="K36" s="11">
        <v>0</v>
      </c>
      <c r="L36" s="11">
        <v>0</v>
      </c>
      <c r="M36" s="11">
        <v>0</v>
      </c>
      <c r="N36" s="11">
        <v>0</v>
      </c>
    </row>
    <row r="37" spans="1:14" x14ac:dyDescent="0.3">
      <c r="A37" s="11" t="s">
        <v>498</v>
      </c>
      <c r="B37" s="11" t="s">
        <v>496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</v>
      </c>
      <c r="K37" s="11">
        <v>0</v>
      </c>
      <c r="L37" s="11">
        <v>0</v>
      </c>
      <c r="M37" s="11">
        <v>0</v>
      </c>
      <c r="N37" s="11">
        <v>0</v>
      </c>
    </row>
    <row r="38" spans="1:14" x14ac:dyDescent="0.3">
      <c r="A38" s="11" t="s">
        <v>499</v>
      </c>
      <c r="B38" s="11" t="s">
        <v>496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1</v>
      </c>
      <c r="K38" s="11">
        <v>0</v>
      </c>
      <c r="L38" s="11">
        <v>0</v>
      </c>
      <c r="M38" s="11">
        <v>0</v>
      </c>
      <c r="N38" s="11">
        <v>0</v>
      </c>
    </row>
    <row r="39" spans="1:14" x14ac:dyDescent="0.3">
      <c r="A39" s="11" t="s">
        <v>500</v>
      </c>
      <c r="B39" s="11" t="s">
        <v>496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1</v>
      </c>
      <c r="K39" s="11">
        <v>0</v>
      </c>
      <c r="L39" s="11">
        <v>0</v>
      </c>
      <c r="M39" s="11">
        <v>0</v>
      </c>
      <c r="N39" s="11">
        <v>0</v>
      </c>
    </row>
    <row r="40" spans="1:14" x14ac:dyDescent="0.3">
      <c r="A40" s="11" t="s">
        <v>501</v>
      </c>
      <c r="B40" s="11" t="s">
        <v>496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1</v>
      </c>
      <c r="K40" s="11">
        <v>0</v>
      </c>
      <c r="L40" s="11">
        <v>0</v>
      </c>
      <c r="M40" s="11">
        <v>0</v>
      </c>
      <c r="N40" s="11">
        <v>0</v>
      </c>
    </row>
    <row r="41" spans="1:14" x14ac:dyDescent="0.3">
      <c r="A41" s="11" t="s">
        <v>502</v>
      </c>
      <c r="B41" s="11" t="s">
        <v>496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1</v>
      </c>
      <c r="K41" s="11">
        <v>0</v>
      </c>
      <c r="L41" s="11">
        <v>0</v>
      </c>
      <c r="M41" s="11">
        <v>0</v>
      </c>
      <c r="N41" s="11">
        <v>0</v>
      </c>
    </row>
    <row r="42" spans="1:14" x14ac:dyDescent="0.3">
      <c r="A42" s="11" t="s">
        <v>507</v>
      </c>
      <c r="B42" s="11" t="s">
        <v>496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1</v>
      </c>
      <c r="I42" s="11">
        <v>0</v>
      </c>
      <c r="J42" s="11">
        <v>0</v>
      </c>
      <c r="K42" s="11">
        <v>0</v>
      </c>
      <c r="L42" s="11">
        <v>1</v>
      </c>
      <c r="M42" s="11">
        <v>1</v>
      </c>
      <c r="N42" s="11">
        <v>0</v>
      </c>
    </row>
    <row r="43" spans="1:14" x14ac:dyDescent="0.3">
      <c r="A43" s="11" t="s">
        <v>505</v>
      </c>
      <c r="B43" s="11" t="s">
        <v>496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1</v>
      </c>
      <c r="K43" s="11">
        <v>0</v>
      </c>
      <c r="L43" s="11">
        <v>0</v>
      </c>
      <c r="M43" s="11">
        <v>0</v>
      </c>
      <c r="N43" s="11">
        <v>0</v>
      </c>
    </row>
    <row r="44" spans="1:14" x14ac:dyDescent="0.3">
      <c r="A44" s="11" t="s">
        <v>506</v>
      </c>
      <c r="B44" s="11" t="s">
        <v>496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1</v>
      </c>
      <c r="K44" s="11">
        <v>0</v>
      </c>
      <c r="L44" s="11">
        <v>0</v>
      </c>
      <c r="M44" s="11">
        <v>0</v>
      </c>
      <c r="N44" s="11">
        <v>0</v>
      </c>
    </row>
  </sheetData>
  <conditionalFormatting sqref="C2:N44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MasterSampling_For jobs</vt:lpstr>
      <vt:lpstr>Main Sheet</vt:lpstr>
      <vt:lpstr>MasterSampleParametersRmcheck</vt:lpstr>
      <vt:lpstr>Catalogs error</vt:lpstr>
      <vt:lpstr>Rough Work</vt:lpstr>
      <vt:lpstr>BasicidentificationProduct Spec</vt:lpstr>
      <vt:lpstr>Conusmable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 V</cp:lastModifiedBy>
  <dcterms:created xsi:type="dcterms:W3CDTF">2026-10-25T05:47:57Z</dcterms:created>
  <dcterms:modified xsi:type="dcterms:W3CDTF">2026-10-26T12:17:12Z</dcterms:modified>
</cp:coreProperties>
</file>